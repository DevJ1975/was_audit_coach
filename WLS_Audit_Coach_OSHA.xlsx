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raWallon\Desktop\"/>
    </mc:Choice>
  </mc:AlternateContent>
  <xr:revisionPtr revIDLastSave="0" documentId="8_{3031C111-DA9F-47C3-AB75-3891A76F2100}" xr6:coauthVersionLast="47" xr6:coauthVersionMax="47" xr10:uidLastSave="{00000000-0000-0000-0000-000000000000}"/>
  <bookViews>
    <workbookView xWindow="-98" yWindow="-98" windowWidth="21795" windowHeight="13875" tabRatio="500" firstSheet="1" activeTab="1" xr2:uid="{00000000-000D-0000-FFFF-FFFF00000000}"/>
  </bookViews>
  <sheets>
    <sheet name="Pre-Audit Scoping" sheetId="1" r:id="rId1"/>
    <sheet name="HSE Dashboard" sheetId="2" r:id="rId2"/>
    <sheet name="Audit Report" sheetId="3" r:id="rId3"/>
    <sheet name="CA Tracker" sheetId="4" r:id="rId4"/>
    <sheet name="Confined Space" sheetId="5" r:id="rId5"/>
    <sheet name="PPE" sheetId="6" r:id="rId6"/>
    <sheet name="Walking &amp; Working Surfaces" sheetId="7" r:id="rId7"/>
    <sheet name="Recordkeeping" sheetId="8" r:id="rId8"/>
    <sheet name="LOTO" sheetId="9" r:id="rId9"/>
    <sheet name="Egress &amp; Emergency Action" sheetId="10" r:id="rId10"/>
    <sheet name="Fire Protection &amp; Alarms" sheetId="11" r:id="rId11"/>
    <sheet name="Machine Guarding" sheetId="12" r:id="rId12"/>
    <sheet name="Electrical Safety" sheetId="13" r:id="rId13"/>
    <sheet name="Hand &amp; Power Tools" sheetId="14" r:id="rId14"/>
    <sheet name="Hazard Communication" sheetId="15" r:id="rId15"/>
    <sheet name="Forklifts &amp; Materials" sheetId="16" r:id="rId16"/>
    <sheet name="Cranes, Hoists &amp; Rigging" sheetId="17" r:id="rId17"/>
    <sheet name="Hazardous Materials" sheetId="18" r:id="rId18"/>
    <sheet name="Occ. Health &amp; Noise" sheetId="19" r:id="rId19"/>
    <sheet name="Medical &amp; First Aid" sheetId="20" r:id="rId20"/>
    <sheet name="Welding &amp; Hot Work" sheetId="21" r:id="rId21"/>
    <sheet name="BBP &amp; Sanitation" sheetId="22" r:id="rId22"/>
    <sheet name="State Requirements" sheetId="23" r:id="rId23"/>
    <sheet name="DataPool" sheetId="24" state="hidden" r:id="rId24"/>
    <sheet name="State_Data" sheetId="25" state="hidden"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25" l="1"/>
  <c r="I88" i="25"/>
  <c r="I87" i="25"/>
  <c r="I86" i="25"/>
  <c r="I85" i="25"/>
  <c r="I84" i="25"/>
  <c r="I83" i="25"/>
  <c r="I82" i="25"/>
  <c r="I81" i="25"/>
  <c r="I80" i="25"/>
  <c r="I79" i="25"/>
  <c r="I78" i="25"/>
  <c r="I77" i="25"/>
  <c r="I76" i="25"/>
  <c r="I75" i="25"/>
  <c r="I74" i="25"/>
  <c r="I73" i="25"/>
  <c r="I72" i="25"/>
  <c r="I71" i="25"/>
  <c r="I70" i="25"/>
  <c r="I69" i="25"/>
  <c r="I68" i="25"/>
  <c r="I67" i="25"/>
  <c r="I66" i="25"/>
  <c r="I65" i="25"/>
  <c r="I64" i="25"/>
  <c r="I63" i="25"/>
  <c r="I62" i="25"/>
  <c r="I61" i="25"/>
  <c r="I60" i="25"/>
  <c r="I59" i="25"/>
  <c r="I58" i="25"/>
  <c r="I57" i="25"/>
  <c r="I56" i="25"/>
  <c r="I55" i="25"/>
  <c r="I54" i="25"/>
  <c r="I53" i="25"/>
  <c r="I52" i="25"/>
  <c r="I51" i="25"/>
  <c r="I50" i="25"/>
  <c r="I49" i="25"/>
  <c r="I48" i="25"/>
  <c r="I47" i="25"/>
  <c r="I46" i="25"/>
  <c r="I45" i="25"/>
  <c r="I44" i="25"/>
  <c r="I43" i="25"/>
  <c r="I42" i="25"/>
  <c r="I41" i="25"/>
  <c r="I40" i="25"/>
  <c r="I39" i="25"/>
  <c r="I38" i="25"/>
  <c r="I37" i="25"/>
  <c r="I36" i="25"/>
  <c r="I35" i="25"/>
  <c r="I34" i="25"/>
  <c r="I33" i="25"/>
  <c r="I32" i="25"/>
  <c r="I31" i="25"/>
  <c r="I30" i="25"/>
  <c r="I29" i="25"/>
  <c r="I28" i="25"/>
  <c r="I27" i="25"/>
  <c r="I26" i="25"/>
  <c r="I25" i="25"/>
  <c r="I24" i="25"/>
  <c r="I23" i="25"/>
  <c r="I22" i="25"/>
  <c r="I21" i="25"/>
  <c r="I20" i="25"/>
  <c r="I19" i="25"/>
  <c r="I18" i="25"/>
  <c r="I17" i="25"/>
  <c r="I16" i="25"/>
  <c r="I15" i="25"/>
  <c r="I14" i="25"/>
  <c r="I13" i="25"/>
  <c r="I12" i="25"/>
  <c r="I11" i="25"/>
  <c r="I10" i="25"/>
  <c r="I9" i="25"/>
  <c r="I8" i="25"/>
  <c r="I7" i="25"/>
  <c r="I6" i="25"/>
  <c r="I5" i="25"/>
  <c r="I4" i="25"/>
  <c r="I3" i="25"/>
  <c r="I2" i="25"/>
  <c r="L297" i="24"/>
  <c r="K297" i="24"/>
  <c r="I297" i="24"/>
  <c r="H297" i="24"/>
  <c r="E297" i="24"/>
  <c r="L296" i="24"/>
  <c r="K296" i="24"/>
  <c r="I296" i="24"/>
  <c r="H296" i="24"/>
  <c r="E296" i="24"/>
  <c r="L295" i="24"/>
  <c r="K295" i="24"/>
  <c r="I295" i="24"/>
  <c r="H295" i="24"/>
  <c r="E295" i="24"/>
  <c r="L294" i="24"/>
  <c r="K294" i="24"/>
  <c r="I294" i="24"/>
  <c r="H294" i="24"/>
  <c r="E294" i="24"/>
  <c r="L293" i="24"/>
  <c r="K293" i="24"/>
  <c r="I293" i="24"/>
  <c r="H293" i="24"/>
  <c r="E293" i="24"/>
  <c r="L292" i="24"/>
  <c r="K292" i="24"/>
  <c r="I292" i="24"/>
  <c r="H292" i="24"/>
  <c r="E292" i="24"/>
  <c r="L291" i="24"/>
  <c r="K291" i="24"/>
  <c r="I291" i="24"/>
  <c r="H291" i="24"/>
  <c r="E291" i="24"/>
  <c r="L290" i="24"/>
  <c r="K290" i="24"/>
  <c r="I290" i="24"/>
  <c r="H290" i="24"/>
  <c r="E290" i="24"/>
  <c r="L289" i="24"/>
  <c r="K289" i="24"/>
  <c r="I289" i="24"/>
  <c r="H289" i="24"/>
  <c r="E289" i="24"/>
  <c r="L288" i="24"/>
  <c r="K288" i="24"/>
  <c r="I288" i="24"/>
  <c r="H288" i="24"/>
  <c r="E288" i="24"/>
  <c r="L287" i="24"/>
  <c r="K287" i="24"/>
  <c r="J287" i="24"/>
  <c r="I287" i="24"/>
  <c r="H287" i="24"/>
  <c r="G287" i="24"/>
  <c r="E287" i="24"/>
  <c r="D287" i="24"/>
  <c r="C287" i="24"/>
  <c r="B287" i="24"/>
  <c r="L286" i="24"/>
  <c r="K286" i="24"/>
  <c r="J286" i="24"/>
  <c r="I286" i="24"/>
  <c r="H286" i="24"/>
  <c r="G286" i="24"/>
  <c r="E286" i="24"/>
  <c r="D286" i="24"/>
  <c r="C286" i="24"/>
  <c r="B286" i="24"/>
  <c r="L285" i="24"/>
  <c r="K285" i="24"/>
  <c r="J285" i="24"/>
  <c r="I285" i="24"/>
  <c r="H285" i="24"/>
  <c r="G285" i="24"/>
  <c r="E285" i="24"/>
  <c r="D285" i="24"/>
  <c r="C285" i="24"/>
  <c r="B285" i="24"/>
  <c r="L284" i="24"/>
  <c r="K284" i="24"/>
  <c r="J284" i="24"/>
  <c r="I284" i="24"/>
  <c r="H284" i="24"/>
  <c r="G284" i="24"/>
  <c r="E284" i="24"/>
  <c r="D284" i="24"/>
  <c r="C284" i="24"/>
  <c r="B284" i="24"/>
  <c r="L283" i="24"/>
  <c r="K283" i="24"/>
  <c r="J283" i="24"/>
  <c r="I283" i="24"/>
  <c r="H283" i="24"/>
  <c r="G283" i="24"/>
  <c r="E283" i="24"/>
  <c r="D283" i="24"/>
  <c r="C283" i="24"/>
  <c r="B283" i="24"/>
  <c r="L282" i="24"/>
  <c r="K282" i="24"/>
  <c r="J282" i="24"/>
  <c r="I282" i="24"/>
  <c r="H282" i="24"/>
  <c r="G282" i="24"/>
  <c r="E282" i="24"/>
  <c r="D282" i="24"/>
  <c r="C282" i="24"/>
  <c r="B282" i="24"/>
  <c r="L281" i="24"/>
  <c r="K281" i="24"/>
  <c r="J281" i="24"/>
  <c r="I281" i="24"/>
  <c r="H281" i="24"/>
  <c r="G281" i="24"/>
  <c r="E281" i="24"/>
  <c r="D281" i="24"/>
  <c r="C281" i="24"/>
  <c r="B281" i="24"/>
  <c r="L280" i="24"/>
  <c r="K280" i="24"/>
  <c r="J280" i="24"/>
  <c r="I280" i="24"/>
  <c r="H280" i="24"/>
  <c r="G280" i="24"/>
  <c r="E280" i="24"/>
  <c r="D280" i="24"/>
  <c r="C280" i="24"/>
  <c r="B280" i="24"/>
  <c r="L279" i="24"/>
  <c r="K279" i="24"/>
  <c r="J279" i="24"/>
  <c r="I279" i="24"/>
  <c r="H279" i="24"/>
  <c r="G279" i="24"/>
  <c r="E279" i="24"/>
  <c r="D279" i="24"/>
  <c r="C279" i="24"/>
  <c r="B279" i="24"/>
  <c r="L278" i="24"/>
  <c r="K278" i="24"/>
  <c r="J278" i="24"/>
  <c r="I278" i="24"/>
  <c r="H278" i="24"/>
  <c r="G278" i="24"/>
  <c r="E278" i="24"/>
  <c r="D278" i="24"/>
  <c r="C278" i="24"/>
  <c r="B278" i="24"/>
  <c r="L277" i="24"/>
  <c r="K277" i="24"/>
  <c r="J277" i="24"/>
  <c r="I277" i="24"/>
  <c r="H277" i="24"/>
  <c r="G277" i="24"/>
  <c r="E277" i="24"/>
  <c r="D277" i="24"/>
  <c r="C277" i="24"/>
  <c r="B277" i="24"/>
  <c r="L276" i="24"/>
  <c r="K276" i="24"/>
  <c r="J276" i="24"/>
  <c r="I276" i="24"/>
  <c r="H276" i="24"/>
  <c r="G276" i="24"/>
  <c r="E276" i="24"/>
  <c r="D276" i="24"/>
  <c r="C276" i="24"/>
  <c r="B276" i="24"/>
  <c r="L275" i="24"/>
  <c r="K275" i="24"/>
  <c r="J275" i="24"/>
  <c r="I275" i="24"/>
  <c r="H275" i="24"/>
  <c r="G275" i="24"/>
  <c r="E275" i="24"/>
  <c r="D275" i="24"/>
  <c r="C275" i="24"/>
  <c r="B275" i="24"/>
  <c r="L274" i="24"/>
  <c r="K274" i="24"/>
  <c r="J274" i="24"/>
  <c r="I274" i="24"/>
  <c r="H274" i="24"/>
  <c r="G274" i="24"/>
  <c r="E274" i="24"/>
  <c r="D274" i="24"/>
  <c r="C274" i="24"/>
  <c r="B274" i="24"/>
  <c r="L273" i="24"/>
  <c r="K273" i="24"/>
  <c r="J273" i="24"/>
  <c r="I273" i="24"/>
  <c r="H273" i="24"/>
  <c r="G273" i="24"/>
  <c r="E273" i="24"/>
  <c r="D273" i="24"/>
  <c r="C273" i="24"/>
  <c r="B273" i="24"/>
  <c r="L272" i="24"/>
  <c r="K272" i="24"/>
  <c r="J272" i="24"/>
  <c r="I272" i="24"/>
  <c r="H272" i="24"/>
  <c r="G272" i="24"/>
  <c r="E272" i="24"/>
  <c r="D272" i="24"/>
  <c r="C272" i="24"/>
  <c r="B272" i="24"/>
  <c r="L271" i="24"/>
  <c r="K271" i="24"/>
  <c r="J271" i="24"/>
  <c r="I271" i="24"/>
  <c r="H271" i="24"/>
  <c r="G271" i="24"/>
  <c r="E271" i="24"/>
  <c r="D271" i="24"/>
  <c r="C271" i="24"/>
  <c r="B271" i="24"/>
  <c r="L270" i="24"/>
  <c r="K270" i="24"/>
  <c r="J270" i="24"/>
  <c r="I270" i="24"/>
  <c r="H270" i="24"/>
  <c r="G270" i="24"/>
  <c r="E270" i="24"/>
  <c r="D270" i="24"/>
  <c r="C270" i="24"/>
  <c r="B270" i="24"/>
  <c r="L269" i="24"/>
  <c r="K269" i="24"/>
  <c r="J269" i="24"/>
  <c r="I269" i="24"/>
  <c r="H269" i="24"/>
  <c r="G269" i="24"/>
  <c r="E269" i="24"/>
  <c r="D269" i="24"/>
  <c r="C269" i="24"/>
  <c r="B269" i="24"/>
  <c r="L268" i="24"/>
  <c r="K268" i="24"/>
  <c r="J268" i="24"/>
  <c r="I268" i="24"/>
  <c r="H268" i="24"/>
  <c r="G268" i="24"/>
  <c r="E268" i="24"/>
  <c r="D268" i="24"/>
  <c r="C268" i="24"/>
  <c r="B268" i="24"/>
  <c r="L267" i="24"/>
  <c r="K267" i="24"/>
  <c r="J267" i="24"/>
  <c r="I267" i="24"/>
  <c r="H267" i="24"/>
  <c r="G267" i="24"/>
  <c r="E267" i="24"/>
  <c r="D267" i="24"/>
  <c r="C267" i="24"/>
  <c r="B267" i="24"/>
  <c r="L266" i="24"/>
  <c r="K266" i="24"/>
  <c r="J266" i="24"/>
  <c r="I266" i="24"/>
  <c r="H266" i="24"/>
  <c r="G266" i="24"/>
  <c r="E266" i="24"/>
  <c r="D266" i="24"/>
  <c r="C266" i="24"/>
  <c r="B266" i="24"/>
  <c r="L265" i="24"/>
  <c r="K265" i="24"/>
  <c r="J265" i="24"/>
  <c r="I265" i="24"/>
  <c r="H265" i="24"/>
  <c r="G265" i="24"/>
  <c r="E265" i="24"/>
  <c r="D265" i="24"/>
  <c r="C265" i="24"/>
  <c r="B265" i="24"/>
  <c r="L264" i="24"/>
  <c r="K264" i="24"/>
  <c r="J264" i="24"/>
  <c r="I264" i="24"/>
  <c r="H264" i="24"/>
  <c r="G264" i="24"/>
  <c r="E264" i="24"/>
  <c r="D264" i="24"/>
  <c r="C264" i="24"/>
  <c r="B264" i="24"/>
  <c r="L263" i="24"/>
  <c r="K263" i="24"/>
  <c r="J263" i="24"/>
  <c r="I263" i="24"/>
  <c r="H263" i="24"/>
  <c r="G263" i="24"/>
  <c r="E263" i="24"/>
  <c r="D263" i="24"/>
  <c r="C263" i="24"/>
  <c r="B263" i="24"/>
  <c r="L262" i="24"/>
  <c r="K262" i="24"/>
  <c r="J262" i="24"/>
  <c r="I262" i="24"/>
  <c r="H262" i="24"/>
  <c r="G262" i="24"/>
  <c r="E262" i="24"/>
  <c r="D262" i="24"/>
  <c r="C262" i="24"/>
  <c r="B262" i="24"/>
  <c r="L261" i="24"/>
  <c r="K261" i="24"/>
  <c r="J261" i="24"/>
  <c r="I261" i="24"/>
  <c r="H261" i="24"/>
  <c r="G261" i="24"/>
  <c r="E261" i="24"/>
  <c r="D261" i="24"/>
  <c r="C261" i="24"/>
  <c r="B261" i="24"/>
  <c r="L260" i="24"/>
  <c r="K260" i="24"/>
  <c r="J260" i="24"/>
  <c r="I260" i="24"/>
  <c r="H260" i="24"/>
  <c r="G260" i="24"/>
  <c r="E260" i="24"/>
  <c r="D260" i="24"/>
  <c r="C260" i="24"/>
  <c r="B260" i="24"/>
  <c r="L259" i="24"/>
  <c r="K259" i="24"/>
  <c r="J259" i="24"/>
  <c r="I259" i="24"/>
  <c r="H259" i="24"/>
  <c r="G259" i="24"/>
  <c r="E259" i="24"/>
  <c r="D259" i="24"/>
  <c r="C259" i="24"/>
  <c r="B259" i="24"/>
  <c r="L258" i="24"/>
  <c r="K258" i="24"/>
  <c r="J258" i="24"/>
  <c r="I258" i="24"/>
  <c r="H258" i="24"/>
  <c r="G258" i="24"/>
  <c r="E258" i="24"/>
  <c r="D258" i="24"/>
  <c r="C258" i="24"/>
  <c r="B258" i="24"/>
  <c r="L257" i="24"/>
  <c r="K257" i="24"/>
  <c r="J257" i="24"/>
  <c r="I257" i="24"/>
  <c r="H257" i="24"/>
  <c r="G257" i="24"/>
  <c r="E257" i="24"/>
  <c r="D257" i="24"/>
  <c r="C257" i="24"/>
  <c r="B257" i="24"/>
  <c r="L256" i="24"/>
  <c r="K256" i="24"/>
  <c r="J256" i="24"/>
  <c r="I256" i="24"/>
  <c r="H256" i="24"/>
  <c r="G256" i="24"/>
  <c r="E256" i="24"/>
  <c r="D256" i="24"/>
  <c r="C256" i="24"/>
  <c r="B256" i="24"/>
  <c r="L255" i="24"/>
  <c r="K255" i="24"/>
  <c r="J255" i="24"/>
  <c r="I255" i="24"/>
  <c r="H255" i="24"/>
  <c r="G255" i="24"/>
  <c r="E255" i="24"/>
  <c r="D255" i="24"/>
  <c r="C255" i="24"/>
  <c r="B255" i="24"/>
  <c r="L254" i="24"/>
  <c r="K254" i="24"/>
  <c r="J254" i="24"/>
  <c r="I254" i="24"/>
  <c r="H254" i="24"/>
  <c r="G254" i="24"/>
  <c r="E254" i="24"/>
  <c r="D254" i="24"/>
  <c r="C254" i="24"/>
  <c r="B254" i="24"/>
  <c r="L253" i="24"/>
  <c r="K253" i="24"/>
  <c r="J253" i="24"/>
  <c r="I253" i="24"/>
  <c r="H253" i="24"/>
  <c r="G253" i="24"/>
  <c r="E253" i="24"/>
  <c r="D253" i="24"/>
  <c r="C253" i="24"/>
  <c r="B253" i="24"/>
  <c r="L252" i="24"/>
  <c r="K252" i="24"/>
  <c r="J252" i="24"/>
  <c r="I252" i="24"/>
  <c r="H252" i="24"/>
  <c r="G252" i="24"/>
  <c r="E252" i="24"/>
  <c r="D252" i="24"/>
  <c r="C252" i="24"/>
  <c r="B252" i="24"/>
  <c r="L251" i="24"/>
  <c r="K251" i="24"/>
  <c r="J251" i="24"/>
  <c r="I251" i="24"/>
  <c r="H251" i="24"/>
  <c r="G251" i="24"/>
  <c r="E251" i="24"/>
  <c r="D251" i="24"/>
  <c r="C251" i="24"/>
  <c r="B251" i="24"/>
  <c r="L250" i="24"/>
  <c r="K250" i="24"/>
  <c r="J250" i="24"/>
  <c r="I250" i="24"/>
  <c r="H250" i="24"/>
  <c r="G250" i="24"/>
  <c r="E250" i="24"/>
  <c r="D250" i="24"/>
  <c r="C250" i="24"/>
  <c r="B250" i="24"/>
  <c r="L249" i="24"/>
  <c r="K249" i="24"/>
  <c r="J249" i="24"/>
  <c r="I249" i="24"/>
  <c r="H249" i="24"/>
  <c r="G249" i="24"/>
  <c r="E249" i="24"/>
  <c r="D249" i="24"/>
  <c r="C249" i="24"/>
  <c r="B249" i="24"/>
  <c r="L248" i="24"/>
  <c r="K248" i="24"/>
  <c r="J248" i="24"/>
  <c r="I248" i="24"/>
  <c r="H248" i="24"/>
  <c r="G248" i="24"/>
  <c r="E248" i="24"/>
  <c r="D248" i="24"/>
  <c r="C248" i="24"/>
  <c r="B248" i="24"/>
  <c r="L247" i="24"/>
  <c r="K247" i="24"/>
  <c r="J247" i="24"/>
  <c r="I247" i="24"/>
  <c r="H247" i="24"/>
  <c r="G247" i="24"/>
  <c r="E247" i="24"/>
  <c r="D247" i="24"/>
  <c r="C247" i="24"/>
  <c r="B247" i="24"/>
  <c r="L246" i="24"/>
  <c r="K246" i="24"/>
  <c r="J246" i="24"/>
  <c r="I246" i="24"/>
  <c r="H246" i="24"/>
  <c r="G246" i="24"/>
  <c r="E246" i="24"/>
  <c r="D246" i="24"/>
  <c r="C246" i="24"/>
  <c r="B246" i="24"/>
  <c r="L245" i="24"/>
  <c r="K245" i="24"/>
  <c r="J245" i="24"/>
  <c r="I245" i="24"/>
  <c r="H245" i="24"/>
  <c r="G245" i="24"/>
  <c r="E245" i="24"/>
  <c r="D245" i="24"/>
  <c r="C245" i="24"/>
  <c r="B245" i="24"/>
  <c r="L244" i="24"/>
  <c r="K244" i="24"/>
  <c r="J244" i="24"/>
  <c r="I244" i="24"/>
  <c r="H244" i="24"/>
  <c r="G244" i="24"/>
  <c r="E244" i="24"/>
  <c r="D244" i="24"/>
  <c r="C244" i="24"/>
  <c r="B244" i="24"/>
  <c r="L243" i="24"/>
  <c r="K243" i="24"/>
  <c r="J243" i="24"/>
  <c r="I243" i="24"/>
  <c r="H243" i="24"/>
  <c r="G243" i="24"/>
  <c r="E243" i="24"/>
  <c r="D243" i="24"/>
  <c r="C243" i="24"/>
  <c r="B243" i="24"/>
  <c r="L242" i="24"/>
  <c r="K242" i="24"/>
  <c r="J242" i="24"/>
  <c r="I242" i="24"/>
  <c r="H242" i="24"/>
  <c r="G242" i="24"/>
  <c r="E242" i="24"/>
  <c r="D242" i="24"/>
  <c r="C242" i="24"/>
  <c r="B242" i="24"/>
  <c r="L241" i="24"/>
  <c r="K241" i="24"/>
  <c r="J241" i="24"/>
  <c r="I241" i="24"/>
  <c r="H241" i="24"/>
  <c r="G241" i="24"/>
  <c r="E241" i="24"/>
  <c r="D241" i="24"/>
  <c r="C241" i="24"/>
  <c r="B241" i="24"/>
  <c r="L240" i="24"/>
  <c r="K240" i="24"/>
  <c r="J240" i="24"/>
  <c r="I240" i="24"/>
  <c r="H240" i="24"/>
  <c r="G240" i="24"/>
  <c r="E240" i="24"/>
  <c r="D240" i="24"/>
  <c r="C240" i="24"/>
  <c r="B240" i="24"/>
  <c r="L239" i="24"/>
  <c r="K239" i="24"/>
  <c r="J239" i="24"/>
  <c r="I239" i="24"/>
  <c r="H239" i="24"/>
  <c r="G239" i="24"/>
  <c r="E239" i="24"/>
  <c r="D239" i="24"/>
  <c r="C239" i="24"/>
  <c r="B239" i="24"/>
  <c r="L238" i="24"/>
  <c r="K238" i="24"/>
  <c r="J238" i="24"/>
  <c r="I238" i="24"/>
  <c r="H238" i="24"/>
  <c r="G238" i="24"/>
  <c r="E238" i="24"/>
  <c r="D238" i="24"/>
  <c r="C238" i="24"/>
  <c r="B238" i="24"/>
  <c r="L237" i="24"/>
  <c r="K237" i="24"/>
  <c r="J237" i="24"/>
  <c r="I237" i="24"/>
  <c r="H237" i="24"/>
  <c r="G237" i="24"/>
  <c r="E237" i="24"/>
  <c r="D237" i="24"/>
  <c r="C237" i="24"/>
  <c r="B237" i="24"/>
  <c r="L236" i="24"/>
  <c r="K236" i="24"/>
  <c r="J236" i="24"/>
  <c r="I236" i="24"/>
  <c r="H236" i="24"/>
  <c r="G236" i="24"/>
  <c r="E236" i="24"/>
  <c r="D236" i="24"/>
  <c r="C236" i="24"/>
  <c r="B236" i="24"/>
  <c r="L235" i="24"/>
  <c r="K235" i="24"/>
  <c r="J235" i="24"/>
  <c r="I235" i="24"/>
  <c r="H235" i="24"/>
  <c r="G235" i="24"/>
  <c r="E235" i="24"/>
  <c r="D235" i="24"/>
  <c r="C235" i="24"/>
  <c r="B235" i="24"/>
  <c r="L234" i="24"/>
  <c r="K234" i="24"/>
  <c r="J234" i="24"/>
  <c r="I234" i="24"/>
  <c r="H234" i="24"/>
  <c r="G234" i="24"/>
  <c r="E234" i="24"/>
  <c r="D234" i="24"/>
  <c r="C234" i="24"/>
  <c r="B234" i="24"/>
  <c r="L233" i="24"/>
  <c r="K233" i="24"/>
  <c r="J233" i="24"/>
  <c r="I233" i="24"/>
  <c r="H233" i="24"/>
  <c r="G233" i="24"/>
  <c r="E233" i="24"/>
  <c r="D233" i="24"/>
  <c r="C233" i="24"/>
  <c r="B233" i="24"/>
  <c r="L232" i="24"/>
  <c r="K232" i="24"/>
  <c r="J232" i="24"/>
  <c r="I232" i="24"/>
  <c r="H232" i="24"/>
  <c r="G232" i="24"/>
  <c r="E232" i="24"/>
  <c r="D232" i="24"/>
  <c r="C232" i="24"/>
  <c r="B232" i="24"/>
  <c r="L231" i="24"/>
  <c r="K231" i="24"/>
  <c r="J231" i="24"/>
  <c r="I231" i="24"/>
  <c r="H231" i="24"/>
  <c r="G231" i="24"/>
  <c r="E231" i="24"/>
  <c r="D231" i="24"/>
  <c r="C231" i="24"/>
  <c r="B231" i="24"/>
  <c r="L230" i="24"/>
  <c r="K230" i="24"/>
  <c r="J230" i="24"/>
  <c r="I230" i="24"/>
  <c r="H230" i="24"/>
  <c r="G230" i="24"/>
  <c r="E230" i="24"/>
  <c r="D230" i="24"/>
  <c r="C230" i="24"/>
  <c r="B230" i="24"/>
  <c r="L229" i="24"/>
  <c r="K229" i="24"/>
  <c r="J229" i="24"/>
  <c r="I229" i="24"/>
  <c r="H229" i="24"/>
  <c r="G229" i="24"/>
  <c r="E229" i="24"/>
  <c r="D229" i="24"/>
  <c r="C229" i="24"/>
  <c r="B229" i="24"/>
  <c r="L228" i="24"/>
  <c r="K228" i="24"/>
  <c r="J228" i="24"/>
  <c r="I228" i="24"/>
  <c r="H228" i="24"/>
  <c r="G228" i="24"/>
  <c r="E228" i="24"/>
  <c r="D228" i="24"/>
  <c r="C228" i="24"/>
  <c r="B228" i="24"/>
  <c r="L227" i="24"/>
  <c r="K227" i="24"/>
  <c r="J227" i="24"/>
  <c r="I227" i="24"/>
  <c r="H227" i="24"/>
  <c r="G227" i="24"/>
  <c r="E227" i="24"/>
  <c r="D227" i="24"/>
  <c r="C227" i="24"/>
  <c r="B227" i="24"/>
  <c r="L226" i="24"/>
  <c r="K226" i="24"/>
  <c r="J226" i="24"/>
  <c r="I226" i="24"/>
  <c r="H226" i="24"/>
  <c r="G226" i="24"/>
  <c r="E226" i="24"/>
  <c r="D226" i="24"/>
  <c r="C226" i="24"/>
  <c r="B226" i="24"/>
  <c r="L225" i="24"/>
  <c r="K225" i="24"/>
  <c r="J225" i="24"/>
  <c r="I225" i="24"/>
  <c r="H225" i="24"/>
  <c r="G225" i="24"/>
  <c r="E225" i="24"/>
  <c r="D225" i="24"/>
  <c r="C225" i="24"/>
  <c r="B225" i="24"/>
  <c r="L224" i="24"/>
  <c r="K224" i="24"/>
  <c r="J224" i="24"/>
  <c r="I224" i="24"/>
  <c r="H224" i="24"/>
  <c r="G224" i="24"/>
  <c r="E224" i="24"/>
  <c r="D224" i="24"/>
  <c r="C224" i="24"/>
  <c r="B224" i="24"/>
  <c r="L223" i="24"/>
  <c r="K223" i="24"/>
  <c r="J223" i="24"/>
  <c r="I223" i="24"/>
  <c r="H223" i="24"/>
  <c r="G223" i="24"/>
  <c r="E223" i="24"/>
  <c r="D223" i="24"/>
  <c r="C223" i="24"/>
  <c r="B223" i="24"/>
  <c r="L222" i="24"/>
  <c r="K222" i="24"/>
  <c r="J222" i="24"/>
  <c r="I222" i="24"/>
  <c r="H222" i="24"/>
  <c r="G222" i="24"/>
  <c r="E222" i="24"/>
  <c r="D222" i="24"/>
  <c r="C222" i="24"/>
  <c r="B222" i="24"/>
  <c r="L221" i="24"/>
  <c r="K221" i="24"/>
  <c r="J221" i="24"/>
  <c r="I221" i="24"/>
  <c r="H221" i="24"/>
  <c r="G221" i="24"/>
  <c r="E221" i="24"/>
  <c r="D221" i="24"/>
  <c r="C221" i="24"/>
  <c r="B221" i="24"/>
  <c r="L220" i="24"/>
  <c r="K220" i="24"/>
  <c r="J220" i="24"/>
  <c r="I220" i="24"/>
  <c r="H220" i="24"/>
  <c r="G220" i="24"/>
  <c r="E220" i="24"/>
  <c r="D220" i="24"/>
  <c r="C220" i="24"/>
  <c r="B220" i="24"/>
  <c r="L219" i="24"/>
  <c r="K219" i="24"/>
  <c r="J219" i="24"/>
  <c r="I219" i="24"/>
  <c r="H219" i="24"/>
  <c r="G219" i="24"/>
  <c r="E219" i="24"/>
  <c r="D219" i="24"/>
  <c r="C219" i="24"/>
  <c r="B219" i="24"/>
  <c r="L218" i="24"/>
  <c r="K218" i="24"/>
  <c r="J218" i="24"/>
  <c r="I218" i="24"/>
  <c r="H218" i="24"/>
  <c r="G218" i="24"/>
  <c r="E218" i="24"/>
  <c r="D218" i="24"/>
  <c r="C218" i="24"/>
  <c r="B218" i="24"/>
  <c r="L217" i="24"/>
  <c r="K217" i="24"/>
  <c r="J217" i="24"/>
  <c r="I217" i="24"/>
  <c r="H217" i="24"/>
  <c r="G217" i="24"/>
  <c r="E217" i="24"/>
  <c r="D217" i="24"/>
  <c r="C217" i="24"/>
  <c r="B217" i="24"/>
  <c r="L216" i="24"/>
  <c r="K216" i="24"/>
  <c r="J216" i="24"/>
  <c r="I216" i="24"/>
  <c r="H216" i="24"/>
  <c r="G216" i="24"/>
  <c r="E216" i="24"/>
  <c r="D216" i="24"/>
  <c r="C216" i="24"/>
  <c r="B216" i="24"/>
  <c r="L215" i="24"/>
  <c r="K215" i="24"/>
  <c r="J215" i="24"/>
  <c r="I215" i="24"/>
  <c r="H215" i="24"/>
  <c r="G215" i="24"/>
  <c r="E215" i="24"/>
  <c r="D215" i="24"/>
  <c r="C215" i="24"/>
  <c r="B215" i="24"/>
  <c r="L214" i="24"/>
  <c r="K214" i="24"/>
  <c r="J214" i="24"/>
  <c r="I214" i="24"/>
  <c r="H214" i="24"/>
  <c r="G214" i="24"/>
  <c r="E214" i="24"/>
  <c r="D214" i="24"/>
  <c r="C214" i="24"/>
  <c r="B214" i="24"/>
  <c r="L213" i="24"/>
  <c r="K213" i="24"/>
  <c r="J213" i="24"/>
  <c r="I213" i="24"/>
  <c r="H213" i="24"/>
  <c r="G213" i="24"/>
  <c r="E213" i="24"/>
  <c r="D213" i="24"/>
  <c r="C213" i="24"/>
  <c r="B213" i="24"/>
  <c r="L212" i="24"/>
  <c r="K212" i="24"/>
  <c r="J212" i="24"/>
  <c r="I212" i="24"/>
  <c r="H212" i="24"/>
  <c r="G212" i="24"/>
  <c r="E212" i="24"/>
  <c r="D212" i="24"/>
  <c r="C212" i="24"/>
  <c r="B212" i="24"/>
  <c r="L211" i="24"/>
  <c r="K211" i="24"/>
  <c r="J211" i="24"/>
  <c r="I211" i="24"/>
  <c r="H211" i="24"/>
  <c r="G211" i="24"/>
  <c r="E211" i="24"/>
  <c r="D211" i="24"/>
  <c r="C211" i="24"/>
  <c r="B211" i="24"/>
  <c r="L210" i="24"/>
  <c r="K210" i="24"/>
  <c r="J210" i="24"/>
  <c r="I210" i="24"/>
  <c r="H210" i="24"/>
  <c r="G210" i="24"/>
  <c r="E210" i="24"/>
  <c r="D210" i="24"/>
  <c r="C210" i="24"/>
  <c r="B210" i="24"/>
  <c r="L209" i="24"/>
  <c r="K209" i="24"/>
  <c r="J209" i="24"/>
  <c r="I209" i="24"/>
  <c r="H209" i="24"/>
  <c r="G209" i="24"/>
  <c r="E209" i="24"/>
  <c r="D209" i="24"/>
  <c r="C209" i="24"/>
  <c r="B209" i="24"/>
  <c r="L208" i="24"/>
  <c r="K208" i="24"/>
  <c r="J208" i="24"/>
  <c r="I208" i="24"/>
  <c r="H208" i="24"/>
  <c r="G208" i="24"/>
  <c r="E208" i="24"/>
  <c r="D208" i="24"/>
  <c r="C208" i="24"/>
  <c r="B208" i="24"/>
  <c r="L207" i="24"/>
  <c r="K207" i="24"/>
  <c r="J207" i="24"/>
  <c r="I207" i="24"/>
  <c r="H207" i="24"/>
  <c r="G207" i="24"/>
  <c r="E207" i="24"/>
  <c r="D207" i="24"/>
  <c r="C207" i="24"/>
  <c r="B207" i="24"/>
  <c r="L206" i="24"/>
  <c r="K206" i="24"/>
  <c r="J206" i="24"/>
  <c r="I206" i="24"/>
  <c r="H206" i="24"/>
  <c r="G206" i="24"/>
  <c r="E206" i="24"/>
  <c r="D206" i="24"/>
  <c r="C206" i="24"/>
  <c r="B206" i="24"/>
  <c r="L205" i="24"/>
  <c r="K205" i="24"/>
  <c r="J205" i="24"/>
  <c r="I205" i="24"/>
  <c r="H205" i="24"/>
  <c r="G205" i="24"/>
  <c r="E205" i="24"/>
  <c r="D205" i="24"/>
  <c r="C205" i="24"/>
  <c r="B205" i="24"/>
  <c r="L204" i="24"/>
  <c r="K204" i="24"/>
  <c r="J204" i="24"/>
  <c r="I204" i="24"/>
  <c r="H204" i="24"/>
  <c r="G204" i="24"/>
  <c r="E204" i="24"/>
  <c r="D204" i="24"/>
  <c r="C204" i="24"/>
  <c r="B204" i="24"/>
  <c r="L203" i="24"/>
  <c r="K203" i="24"/>
  <c r="J203" i="24"/>
  <c r="I203" i="24"/>
  <c r="H203" i="24"/>
  <c r="G203" i="24"/>
  <c r="E203" i="24"/>
  <c r="D203" i="24"/>
  <c r="C203" i="24"/>
  <c r="B203" i="24"/>
  <c r="L202" i="24"/>
  <c r="K202" i="24"/>
  <c r="J202" i="24"/>
  <c r="I202" i="24"/>
  <c r="H202" i="24"/>
  <c r="G202" i="24"/>
  <c r="E202" i="24"/>
  <c r="D202" i="24"/>
  <c r="C202" i="24"/>
  <c r="B202" i="24"/>
  <c r="L201" i="24"/>
  <c r="K201" i="24"/>
  <c r="J201" i="24"/>
  <c r="I201" i="24"/>
  <c r="H201" i="24"/>
  <c r="G201" i="24"/>
  <c r="E201" i="24"/>
  <c r="D201" i="24"/>
  <c r="C201" i="24"/>
  <c r="B201" i="24"/>
  <c r="L200" i="24"/>
  <c r="K200" i="24"/>
  <c r="J200" i="24"/>
  <c r="I200" i="24"/>
  <c r="H200" i="24"/>
  <c r="G200" i="24"/>
  <c r="E200" i="24"/>
  <c r="D200" i="24"/>
  <c r="C200" i="24"/>
  <c r="B200" i="24"/>
  <c r="L199" i="24"/>
  <c r="K199" i="24"/>
  <c r="J199" i="24"/>
  <c r="I199" i="24"/>
  <c r="H199" i="24"/>
  <c r="G199" i="24"/>
  <c r="E199" i="24"/>
  <c r="D199" i="24"/>
  <c r="C199" i="24"/>
  <c r="B199" i="24"/>
  <c r="L198" i="24"/>
  <c r="K198" i="24"/>
  <c r="J198" i="24"/>
  <c r="I198" i="24"/>
  <c r="H198" i="24"/>
  <c r="G198" i="24"/>
  <c r="E198" i="24"/>
  <c r="D198" i="24"/>
  <c r="C198" i="24"/>
  <c r="B198" i="24"/>
  <c r="L197" i="24"/>
  <c r="K197" i="24"/>
  <c r="J197" i="24"/>
  <c r="I197" i="24"/>
  <c r="H197" i="24"/>
  <c r="G197" i="24"/>
  <c r="E197" i="24"/>
  <c r="D197" i="24"/>
  <c r="C197" i="24"/>
  <c r="B197" i="24"/>
  <c r="L196" i="24"/>
  <c r="K196" i="24"/>
  <c r="J196" i="24"/>
  <c r="I196" i="24"/>
  <c r="H196" i="24"/>
  <c r="G196" i="24"/>
  <c r="E196" i="24"/>
  <c r="D196" i="24"/>
  <c r="C196" i="24"/>
  <c r="B196" i="24"/>
  <c r="L195" i="24"/>
  <c r="K195" i="24"/>
  <c r="J195" i="24"/>
  <c r="I195" i="24"/>
  <c r="H195" i="24"/>
  <c r="G195" i="24"/>
  <c r="E195" i="24"/>
  <c r="D195" i="24"/>
  <c r="C195" i="24"/>
  <c r="B195" i="24"/>
  <c r="L194" i="24"/>
  <c r="K194" i="24"/>
  <c r="J194" i="24"/>
  <c r="I194" i="24"/>
  <c r="H194" i="24"/>
  <c r="G194" i="24"/>
  <c r="E194" i="24"/>
  <c r="D194" i="24"/>
  <c r="C194" i="24"/>
  <c r="B194" i="24"/>
  <c r="L193" i="24"/>
  <c r="K193" i="24"/>
  <c r="J193" i="24"/>
  <c r="I193" i="24"/>
  <c r="H193" i="24"/>
  <c r="G193" i="24"/>
  <c r="E193" i="24"/>
  <c r="D193" i="24"/>
  <c r="C193" i="24"/>
  <c r="B193" i="24"/>
  <c r="L192" i="24"/>
  <c r="K192" i="24"/>
  <c r="J192" i="24"/>
  <c r="I192" i="24"/>
  <c r="H192" i="24"/>
  <c r="G192" i="24"/>
  <c r="E192" i="24"/>
  <c r="D192" i="24"/>
  <c r="C192" i="24"/>
  <c r="B192" i="24"/>
  <c r="L191" i="24"/>
  <c r="K191" i="24"/>
  <c r="J191" i="24"/>
  <c r="I191" i="24"/>
  <c r="H191" i="24"/>
  <c r="G191" i="24"/>
  <c r="E191" i="24"/>
  <c r="D191" i="24"/>
  <c r="C191" i="24"/>
  <c r="B191" i="24"/>
  <c r="L190" i="24"/>
  <c r="K190" i="24"/>
  <c r="J190" i="24"/>
  <c r="I190" i="24"/>
  <c r="H190" i="24"/>
  <c r="G190" i="24"/>
  <c r="E190" i="24"/>
  <c r="D190" i="24"/>
  <c r="C190" i="24"/>
  <c r="B190" i="24"/>
  <c r="L189" i="24"/>
  <c r="K189" i="24"/>
  <c r="J189" i="24"/>
  <c r="I189" i="24"/>
  <c r="H189" i="24"/>
  <c r="G189" i="24"/>
  <c r="E189" i="24"/>
  <c r="D189" i="24"/>
  <c r="C189" i="24"/>
  <c r="B189" i="24"/>
  <c r="L188" i="24"/>
  <c r="K188" i="24"/>
  <c r="J188" i="24"/>
  <c r="I188" i="24"/>
  <c r="H188" i="24"/>
  <c r="G188" i="24"/>
  <c r="E188" i="24"/>
  <c r="D188" i="24"/>
  <c r="C188" i="24"/>
  <c r="B188" i="24"/>
  <c r="L187" i="24"/>
  <c r="K187" i="24"/>
  <c r="J187" i="24"/>
  <c r="I187" i="24"/>
  <c r="H187" i="24"/>
  <c r="G187" i="24"/>
  <c r="E187" i="24"/>
  <c r="D187" i="24"/>
  <c r="C187" i="24"/>
  <c r="B187" i="24"/>
  <c r="L186" i="24"/>
  <c r="K186" i="24"/>
  <c r="J186" i="24"/>
  <c r="I186" i="24"/>
  <c r="H186" i="24"/>
  <c r="G186" i="24"/>
  <c r="E186" i="24"/>
  <c r="D186" i="24"/>
  <c r="C186" i="24"/>
  <c r="B186" i="24"/>
  <c r="L185" i="24"/>
  <c r="K185" i="24"/>
  <c r="J185" i="24"/>
  <c r="I185" i="24"/>
  <c r="H185" i="24"/>
  <c r="G185" i="24"/>
  <c r="E185" i="24"/>
  <c r="D185" i="24"/>
  <c r="C185" i="24"/>
  <c r="B185" i="24"/>
  <c r="L184" i="24"/>
  <c r="K184" i="24"/>
  <c r="J184" i="24"/>
  <c r="I184" i="24"/>
  <c r="H184" i="24"/>
  <c r="G184" i="24"/>
  <c r="E184" i="24"/>
  <c r="D184" i="24"/>
  <c r="C184" i="24"/>
  <c r="B184" i="24"/>
  <c r="L183" i="24"/>
  <c r="K183" i="24"/>
  <c r="J183" i="24"/>
  <c r="I183" i="24"/>
  <c r="H183" i="24"/>
  <c r="G183" i="24"/>
  <c r="E183" i="24"/>
  <c r="D183" i="24"/>
  <c r="C183" i="24"/>
  <c r="B183" i="24"/>
  <c r="L182" i="24"/>
  <c r="K182" i="24"/>
  <c r="J182" i="24"/>
  <c r="I182" i="24"/>
  <c r="H182" i="24"/>
  <c r="G182" i="24"/>
  <c r="E182" i="24"/>
  <c r="D182" i="24"/>
  <c r="C182" i="24"/>
  <c r="B182" i="24"/>
  <c r="L181" i="24"/>
  <c r="K181" i="24"/>
  <c r="J181" i="24"/>
  <c r="I181" i="24"/>
  <c r="H181" i="24"/>
  <c r="G181" i="24"/>
  <c r="E181" i="24"/>
  <c r="D181" i="24"/>
  <c r="C181" i="24"/>
  <c r="B181" i="24"/>
  <c r="L180" i="24"/>
  <c r="K180" i="24"/>
  <c r="J180" i="24"/>
  <c r="I180" i="24"/>
  <c r="H180" i="24"/>
  <c r="G180" i="24"/>
  <c r="E180" i="24"/>
  <c r="D180" i="24"/>
  <c r="C180" i="24"/>
  <c r="B180" i="24"/>
  <c r="L179" i="24"/>
  <c r="K179" i="24"/>
  <c r="J179" i="24"/>
  <c r="I179" i="24"/>
  <c r="H179" i="24"/>
  <c r="G179" i="24"/>
  <c r="E179" i="24"/>
  <c r="D179" i="24"/>
  <c r="C179" i="24"/>
  <c r="B179" i="24"/>
  <c r="L178" i="24"/>
  <c r="K178" i="24"/>
  <c r="J178" i="24"/>
  <c r="I178" i="24"/>
  <c r="H178" i="24"/>
  <c r="G178" i="24"/>
  <c r="E178" i="24"/>
  <c r="D178" i="24"/>
  <c r="C178" i="24"/>
  <c r="B178" i="24"/>
  <c r="L177" i="24"/>
  <c r="K177" i="24"/>
  <c r="J177" i="24"/>
  <c r="I177" i="24"/>
  <c r="H177" i="24"/>
  <c r="G177" i="24"/>
  <c r="E177" i="24"/>
  <c r="D177" i="24"/>
  <c r="C177" i="24"/>
  <c r="B177" i="24"/>
  <c r="L176" i="24"/>
  <c r="K176" i="24"/>
  <c r="J176" i="24"/>
  <c r="I176" i="24"/>
  <c r="H176" i="24"/>
  <c r="G176" i="24"/>
  <c r="E176" i="24"/>
  <c r="D176" i="24"/>
  <c r="C176" i="24"/>
  <c r="B176" i="24"/>
  <c r="L175" i="24"/>
  <c r="K175" i="24"/>
  <c r="J175" i="24"/>
  <c r="I175" i="24"/>
  <c r="H175" i="24"/>
  <c r="G175" i="24"/>
  <c r="E175" i="24"/>
  <c r="D175" i="24"/>
  <c r="C175" i="24"/>
  <c r="B175" i="24"/>
  <c r="L174" i="24"/>
  <c r="K174" i="24"/>
  <c r="J174" i="24"/>
  <c r="I174" i="24"/>
  <c r="H174" i="24"/>
  <c r="G174" i="24"/>
  <c r="E174" i="24"/>
  <c r="D174" i="24"/>
  <c r="C174" i="24"/>
  <c r="B174" i="24"/>
  <c r="L173" i="24"/>
  <c r="K173" i="24"/>
  <c r="J173" i="24"/>
  <c r="I173" i="24"/>
  <c r="H173" i="24"/>
  <c r="G173" i="24"/>
  <c r="E173" i="24"/>
  <c r="D173" i="24"/>
  <c r="C173" i="24"/>
  <c r="B173" i="24"/>
  <c r="L172" i="24"/>
  <c r="K172" i="24"/>
  <c r="J172" i="24"/>
  <c r="I172" i="24"/>
  <c r="H172" i="24"/>
  <c r="G172" i="24"/>
  <c r="E172" i="24"/>
  <c r="D172" i="24"/>
  <c r="C172" i="24"/>
  <c r="B172" i="24"/>
  <c r="L171" i="24"/>
  <c r="K171" i="24"/>
  <c r="J171" i="24"/>
  <c r="I171" i="24"/>
  <c r="H171" i="24"/>
  <c r="G171" i="24"/>
  <c r="E171" i="24"/>
  <c r="D171" i="24"/>
  <c r="C171" i="24"/>
  <c r="B171" i="24"/>
  <c r="L170" i="24"/>
  <c r="K170" i="24"/>
  <c r="J170" i="24"/>
  <c r="I170" i="24"/>
  <c r="H170" i="24"/>
  <c r="G170" i="24"/>
  <c r="E170" i="24"/>
  <c r="D170" i="24"/>
  <c r="C170" i="24"/>
  <c r="B170" i="24"/>
  <c r="L169" i="24"/>
  <c r="K169" i="24"/>
  <c r="J169" i="24"/>
  <c r="I169" i="24"/>
  <c r="H169" i="24"/>
  <c r="G169" i="24"/>
  <c r="E169" i="24"/>
  <c r="D169" i="24"/>
  <c r="C169" i="24"/>
  <c r="B169" i="24"/>
  <c r="L168" i="24"/>
  <c r="K168" i="24"/>
  <c r="J168" i="24"/>
  <c r="I168" i="24"/>
  <c r="H168" i="24"/>
  <c r="G168" i="24"/>
  <c r="E168" i="24"/>
  <c r="D168" i="24"/>
  <c r="C168" i="24"/>
  <c r="B168" i="24"/>
  <c r="L167" i="24"/>
  <c r="K167" i="24"/>
  <c r="J167" i="24"/>
  <c r="I167" i="24"/>
  <c r="H167" i="24"/>
  <c r="G167" i="24"/>
  <c r="E167" i="24"/>
  <c r="D167" i="24"/>
  <c r="C167" i="24"/>
  <c r="B167" i="24"/>
  <c r="L166" i="24"/>
  <c r="K166" i="24"/>
  <c r="J166" i="24"/>
  <c r="I166" i="24"/>
  <c r="H166" i="24"/>
  <c r="G166" i="24"/>
  <c r="E166" i="24"/>
  <c r="D166" i="24"/>
  <c r="C166" i="24"/>
  <c r="B166" i="24"/>
  <c r="L165" i="24"/>
  <c r="K165" i="24"/>
  <c r="J165" i="24"/>
  <c r="I165" i="24"/>
  <c r="H165" i="24"/>
  <c r="G165" i="24"/>
  <c r="E165" i="24"/>
  <c r="D165" i="24"/>
  <c r="C165" i="24"/>
  <c r="B165" i="24"/>
  <c r="L164" i="24"/>
  <c r="K164" i="24"/>
  <c r="J164" i="24"/>
  <c r="I164" i="24"/>
  <c r="H164" i="24"/>
  <c r="G164" i="24"/>
  <c r="E164" i="24"/>
  <c r="D164" i="24"/>
  <c r="C164" i="24"/>
  <c r="B164" i="24"/>
  <c r="L163" i="24"/>
  <c r="K163" i="24"/>
  <c r="J163" i="24"/>
  <c r="I163" i="24"/>
  <c r="H163" i="24"/>
  <c r="G163" i="24"/>
  <c r="E163" i="24"/>
  <c r="D163" i="24"/>
  <c r="C163" i="24"/>
  <c r="B163" i="24"/>
  <c r="L162" i="24"/>
  <c r="K162" i="24"/>
  <c r="J162" i="24"/>
  <c r="I162" i="24"/>
  <c r="H162" i="24"/>
  <c r="G162" i="24"/>
  <c r="E162" i="24"/>
  <c r="D162" i="24"/>
  <c r="C162" i="24"/>
  <c r="B162" i="24"/>
  <c r="L161" i="24"/>
  <c r="K161" i="24"/>
  <c r="J161" i="24"/>
  <c r="I161" i="24"/>
  <c r="H161" i="24"/>
  <c r="G161" i="24"/>
  <c r="E161" i="24"/>
  <c r="D161" i="24"/>
  <c r="C161" i="24"/>
  <c r="B161" i="24"/>
  <c r="L160" i="24"/>
  <c r="K160" i="24"/>
  <c r="J160" i="24"/>
  <c r="I160" i="24"/>
  <c r="H160" i="24"/>
  <c r="G160" i="24"/>
  <c r="E160" i="24"/>
  <c r="D160" i="24"/>
  <c r="C160" i="24"/>
  <c r="B160" i="24"/>
  <c r="L159" i="24"/>
  <c r="K159" i="24"/>
  <c r="J159" i="24"/>
  <c r="I159" i="24"/>
  <c r="H159" i="24"/>
  <c r="G159" i="24"/>
  <c r="E159" i="24"/>
  <c r="D159" i="24"/>
  <c r="C159" i="24"/>
  <c r="B159" i="24"/>
  <c r="L158" i="24"/>
  <c r="K158" i="24"/>
  <c r="J158" i="24"/>
  <c r="I158" i="24"/>
  <c r="H158" i="24"/>
  <c r="G158" i="24"/>
  <c r="E158" i="24"/>
  <c r="D158" i="24"/>
  <c r="C158" i="24"/>
  <c r="B158" i="24"/>
  <c r="L157" i="24"/>
  <c r="K157" i="24"/>
  <c r="J157" i="24"/>
  <c r="I157" i="24"/>
  <c r="H157" i="24"/>
  <c r="G157" i="24"/>
  <c r="E157" i="24"/>
  <c r="D157" i="24"/>
  <c r="C157" i="24"/>
  <c r="B157" i="24"/>
  <c r="L156" i="24"/>
  <c r="K156" i="24"/>
  <c r="J156" i="24"/>
  <c r="I156" i="24"/>
  <c r="H156" i="24"/>
  <c r="G156" i="24"/>
  <c r="E156" i="24"/>
  <c r="D156" i="24"/>
  <c r="C156" i="24"/>
  <c r="B156" i="24"/>
  <c r="L155" i="24"/>
  <c r="K155" i="24"/>
  <c r="J155" i="24"/>
  <c r="I155" i="24"/>
  <c r="H155" i="24"/>
  <c r="G155" i="24"/>
  <c r="E155" i="24"/>
  <c r="D155" i="24"/>
  <c r="C155" i="24"/>
  <c r="B155" i="24"/>
  <c r="L154" i="24"/>
  <c r="K154" i="24"/>
  <c r="J154" i="24"/>
  <c r="I154" i="24"/>
  <c r="H154" i="24"/>
  <c r="G154" i="24"/>
  <c r="E154" i="24"/>
  <c r="D154" i="24"/>
  <c r="C154" i="24"/>
  <c r="B154" i="24"/>
  <c r="L153" i="24"/>
  <c r="K153" i="24"/>
  <c r="J153" i="24"/>
  <c r="I153" i="24"/>
  <c r="H153" i="24"/>
  <c r="G153" i="24"/>
  <c r="E153" i="24"/>
  <c r="D153" i="24"/>
  <c r="C153" i="24"/>
  <c r="B153" i="24"/>
  <c r="L152" i="24"/>
  <c r="K152" i="24"/>
  <c r="J152" i="24"/>
  <c r="I152" i="24"/>
  <c r="H152" i="24"/>
  <c r="G152" i="24"/>
  <c r="E152" i="24"/>
  <c r="D152" i="24"/>
  <c r="C152" i="24"/>
  <c r="B152" i="24"/>
  <c r="L151" i="24"/>
  <c r="K151" i="24"/>
  <c r="J151" i="24"/>
  <c r="I151" i="24"/>
  <c r="H151" i="24"/>
  <c r="G151" i="24"/>
  <c r="E151" i="24"/>
  <c r="D151" i="24"/>
  <c r="C151" i="24"/>
  <c r="B151" i="24"/>
  <c r="L150" i="24"/>
  <c r="K150" i="24"/>
  <c r="J150" i="24"/>
  <c r="I150" i="24"/>
  <c r="H150" i="24"/>
  <c r="G150" i="24"/>
  <c r="E150" i="24"/>
  <c r="D150" i="24"/>
  <c r="C150" i="24"/>
  <c r="B150" i="24"/>
  <c r="L149" i="24"/>
  <c r="K149" i="24"/>
  <c r="J149" i="24"/>
  <c r="I149" i="24"/>
  <c r="H149" i="24"/>
  <c r="G149" i="24"/>
  <c r="E149" i="24"/>
  <c r="D149" i="24"/>
  <c r="C149" i="24"/>
  <c r="B149" i="24"/>
  <c r="L148" i="24"/>
  <c r="K148" i="24"/>
  <c r="J148" i="24"/>
  <c r="I148" i="24"/>
  <c r="H148" i="24"/>
  <c r="G148" i="24"/>
  <c r="E148" i="24"/>
  <c r="D148" i="24"/>
  <c r="C148" i="24"/>
  <c r="B148" i="24"/>
  <c r="L147" i="24"/>
  <c r="K147" i="24"/>
  <c r="J147" i="24"/>
  <c r="I147" i="24"/>
  <c r="H147" i="24"/>
  <c r="G147" i="24"/>
  <c r="E147" i="24"/>
  <c r="D147" i="24"/>
  <c r="C147" i="24"/>
  <c r="B147" i="24"/>
  <c r="L146" i="24"/>
  <c r="K146" i="24"/>
  <c r="J146" i="24"/>
  <c r="I146" i="24"/>
  <c r="H146" i="24"/>
  <c r="G146" i="24"/>
  <c r="E146" i="24"/>
  <c r="D146" i="24"/>
  <c r="C146" i="24"/>
  <c r="B146" i="24"/>
  <c r="L145" i="24"/>
  <c r="K145" i="24"/>
  <c r="J145" i="24"/>
  <c r="I145" i="24"/>
  <c r="H145" i="24"/>
  <c r="G145" i="24"/>
  <c r="E145" i="24"/>
  <c r="D145" i="24"/>
  <c r="C145" i="24"/>
  <c r="B145" i="24"/>
  <c r="L144" i="24"/>
  <c r="K144" i="24"/>
  <c r="J144" i="24"/>
  <c r="I144" i="24"/>
  <c r="H144" i="24"/>
  <c r="G144" i="24"/>
  <c r="E144" i="24"/>
  <c r="D144" i="24"/>
  <c r="C144" i="24"/>
  <c r="B144" i="24"/>
  <c r="L143" i="24"/>
  <c r="K143" i="24"/>
  <c r="J143" i="24"/>
  <c r="I143" i="24"/>
  <c r="H143" i="24"/>
  <c r="G143" i="24"/>
  <c r="E143" i="24"/>
  <c r="D143" i="24"/>
  <c r="C143" i="24"/>
  <c r="B143" i="24"/>
  <c r="L142" i="24"/>
  <c r="K142" i="24"/>
  <c r="J142" i="24"/>
  <c r="I142" i="24"/>
  <c r="H142" i="24"/>
  <c r="G142" i="24"/>
  <c r="E142" i="24"/>
  <c r="D142" i="24"/>
  <c r="C142" i="24"/>
  <c r="B142" i="24"/>
  <c r="L141" i="24"/>
  <c r="K141" i="24"/>
  <c r="J141" i="24"/>
  <c r="I141" i="24"/>
  <c r="H141" i="24"/>
  <c r="G141" i="24"/>
  <c r="E141" i="24"/>
  <c r="D141" i="24"/>
  <c r="C141" i="24"/>
  <c r="B141" i="24"/>
  <c r="L140" i="24"/>
  <c r="K140" i="24"/>
  <c r="J140" i="24"/>
  <c r="I140" i="24"/>
  <c r="H140" i="24"/>
  <c r="G140" i="24"/>
  <c r="E140" i="24"/>
  <c r="D140" i="24"/>
  <c r="C140" i="24"/>
  <c r="B140" i="24"/>
  <c r="L139" i="24"/>
  <c r="K139" i="24"/>
  <c r="J139" i="24"/>
  <c r="I139" i="24"/>
  <c r="H139" i="24"/>
  <c r="G139" i="24"/>
  <c r="E139" i="24"/>
  <c r="D139" i="24"/>
  <c r="C139" i="24"/>
  <c r="B139" i="24"/>
  <c r="L138" i="24"/>
  <c r="K138" i="24"/>
  <c r="J138" i="24"/>
  <c r="I138" i="24"/>
  <c r="H138" i="24"/>
  <c r="G138" i="24"/>
  <c r="E138" i="24"/>
  <c r="D138" i="24"/>
  <c r="C138" i="24"/>
  <c r="B138" i="24"/>
  <c r="L137" i="24"/>
  <c r="K137" i="24"/>
  <c r="J137" i="24"/>
  <c r="I137" i="24"/>
  <c r="H137" i="24"/>
  <c r="G137" i="24"/>
  <c r="E137" i="24"/>
  <c r="D137" i="24"/>
  <c r="C137" i="24"/>
  <c r="B137" i="24"/>
  <c r="L136" i="24"/>
  <c r="K136" i="24"/>
  <c r="J136" i="24"/>
  <c r="I136" i="24"/>
  <c r="H136" i="24"/>
  <c r="G136" i="24"/>
  <c r="E136" i="24"/>
  <c r="D136" i="24"/>
  <c r="C136" i="24"/>
  <c r="B136" i="24"/>
  <c r="L135" i="24"/>
  <c r="K135" i="24"/>
  <c r="J135" i="24"/>
  <c r="I135" i="24"/>
  <c r="H135" i="24"/>
  <c r="G135" i="24"/>
  <c r="E135" i="24"/>
  <c r="D135" i="24"/>
  <c r="C135" i="24"/>
  <c r="B135" i="24"/>
  <c r="L134" i="24"/>
  <c r="K134" i="24"/>
  <c r="J134" i="24"/>
  <c r="I134" i="24"/>
  <c r="H134" i="24"/>
  <c r="G134" i="24"/>
  <c r="E134" i="24"/>
  <c r="D134" i="24"/>
  <c r="C134" i="24"/>
  <c r="B134" i="24"/>
  <c r="L133" i="24"/>
  <c r="K133" i="24"/>
  <c r="J133" i="24"/>
  <c r="I133" i="24"/>
  <c r="H133" i="24"/>
  <c r="G133" i="24"/>
  <c r="E133" i="24"/>
  <c r="D133" i="24"/>
  <c r="C133" i="24"/>
  <c r="B133" i="24"/>
  <c r="L132" i="24"/>
  <c r="K132" i="24"/>
  <c r="J132" i="24"/>
  <c r="I132" i="24"/>
  <c r="H132" i="24"/>
  <c r="G132" i="24"/>
  <c r="E132" i="24"/>
  <c r="D132" i="24"/>
  <c r="C132" i="24"/>
  <c r="B132" i="24"/>
  <c r="L131" i="24"/>
  <c r="K131" i="24"/>
  <c r="J131" i="24"/>
  <c r="I131" i="24"/>
  <c r="H131" i="24"/>
  <c r="G131" i="24"/>
  <c r="E131" i="24"/>
  <c r="D131" i="24"/>
  <c r="C131" i="24"/>
  <c r="B131" i="24"/>
  <c r="L130" i="24"/>
  <c r="K130" i="24"/>
  <c r="J130" i="24"/>
  <c r="I130" i="24"/>
  <c r="H130" i="24"/>
  <c r="G130" i="24"/>
  <c r="E130" i="24"/>
  <c r="D130" i="24"/>
  <c r="C130" i="24"/>
  <c r="B130" i="24"/>
  <c r="L129" i="24"/>
  <c r="K129" i="24"/>
  <c r="J129" i="24"/>
  <c r="I129" i="24"/>
  <c r="H129" i="24"/>
  <c r="G129" i="24"/>
  <c r="E129" i="24"/>
  <c r="D129" i="24"/>
  <c r="C129" i="24"/>
  <c r="B129" i="24"/>
  <c r="L128" i="24"/>
  <c r="K128" i="24"/>
  <c r="J128" i="24"/>
  <c r="I128" i="24"/>
  <c r="H128" i="24"/>
  <c r="G128" i="24"/>
  <c r="E128" i="24"/>
  <c r="D128" i="24"/>
  <c r="C128" i="24"/>
  <c r="B128" i="24"/>
  <c r="L127" i="24"/>
  <c r="K127" i="24"/>
  <c r="J127" i="24"/>
  <c r="I127" i="24"/>
  <c r="H127" i="24"/>
  <c r="G127" i="24"/>
  <c r="E127" i="24"/>
  <c r="D127" i="24"/>
  <c r="C127" i="24"/>
  <c r="B127" i="24"/>
  <c r="L126" i="24"/>
  <c r="K126" i="24"/>
  <c r="J126" i="24"/>
  <c r="I126" i="24"/>
  <c r="H126" i="24"/>
  <c r="G126" i="24"/>
  <c r="E126" i="24"/>
  <c r="D126" i="24"/>
  <c r="C126" i="24"/>
  <c r="B126" i="24"/>
  <c r="L125" i="24"/>
  <c r="K125" i="24"/>
  <c r="J125" i="24"/>
  <c r="I125" i="24"/>
  <c r="H125" i="24"/>
  <c r="G125" i="24"/>
  <c r="E125" i="24"/>
  <c r="D125" i="24"/>
  <c r="C125" i="24"/>
  <c r="B125" i="24"/>
  <c r="L124" i="24"/>
  <c r="K124" i="24"/>
  <c r="J124" i="24"/>
  <c r="I124" i="24"/>
  <c r="H124" i="24"/>
  <c r="G124" i="24"/>
  <c r="E124" i="24"/>
  <c r="D124" i="24"/>
  <c r="C124" i="24"/>
  <c r="B124" i="24"/>
  <c r="L123" i="24"/>
  <c r="K123" i="24"/>
  <c r="J123" i="24"/>
  <c r="I123" i="24"/>
  <c r="H123" i="24"/>
  <c r="G123" i="24"/>
  <c r="E123" i="24"/>
  <c r="D123" i="24"/>
  <c r="C123" i="24"/>
  <c r="B123" i="24"/>
  <c r="L122" i="24"/>
  <c r="K122" i="24"/>
  <c r="J122" i="24"/>
  <c r="I122" i="24"/>
  <c r="H122" i="24"/>
  <c r="G122" i="24"/>
  <c r="E122" i="24"/>
  <c r="D122" i="24"/>
  <c r="C122" i="24"/>
  <c r="B122" i="24"/>
  <c r="L121" i="24"/>
  <c r="K121" i="24"/>
  <c r="J121" i="24"/>
  <c r="I121" i="24"/>
  <c r="H121" i="24"/>
  <c r="G121" i="24"/>
  <c r="E121" i="24"/>
  <c r="D121" i="24"/>
  <c r="C121" i="24"/>
  <c r="B121" i="24"/>
  <c r="L120" i="24"/>
  <c r="K120" i="24"/>
  <c r="J120" i="24"/>
  <c r="I120" i="24"/>
  <c r="H120" i="24"/>
  <c r="G120" i="24"/>
  <c r="E120" i="24"/>
  <c r="D120" i="24"/>
  <c r="C120" i="24"/>
  <c r="B120" i="24"/>
  <c r="L119" i="24"/>
  <c r="K119" i="24"/>
  <c r="J119" i="24"/>
  <c r="I119" i="24"/>
  <c r="H119" i="24"/>
  <c r="G119" i="24"/>
  <c r="E119" i="24"/>
  <c r="D119" i="24"/>
  <c r="C119" i="24"/>
  <c r="B119" i="24"/>
  <c r="L118" i="24"/>
  <c r="K118" i="24"/>
  <c r="J118" i="24"/>
  <c r="I118" i="24"/>
  <c r="H118" i="24"/>
  <c r="G118" i="24"/>
  <c r="E118" i="24"/>
  <c r="D118" i="24"/>
  <c r="C118" i="24"/>
  <c r="B118" i="24"/>
  <c r="L117" i="24"/>
  <c r="K117" i="24"/>
  <c r="J117" i="24"/>
  <c r="I117" i="24"/>
  <c r="H117" i="24"/>
  <c r="G117" i="24"/>
  <c r="E117" i="24"/>
  <c r="D117" i="24"/>
  <c r="C117" i="24"/>
  <c r="B117" i="24"/>
  <c r="L116" i="24"/>
  <c r="K116" i="24"/>
  <c r="J116" i="24"/>
  <c r="I116" i="24"/>
  <c r="H116" i="24"/>
  <c r="G116" i="24"/>
  <c r="E116" i="24"/>
  <c r="D116" i="24"/>
  <c r="C116" i="24"/>
  <c r="B116" i="24"/>
  <c r="L115" i="24"/>
  <c r="K115" i="24"/>
  <c r="J115" i="24"/>
  <c r="I115" i="24"/>
  <c r="H115" i="24"/>
  <c r="G115" i="24"/>
  <c r="E115" i="24"/>
  <c r="D115" i="24"/>
  <c r="C115" i="24"/>
  <c r="B115" i="24"/>
  <c r="L114" i="24"/>
  <c r="K114" i="24"/>
  <c r="J114" i="24"/>
  <c r="I114" i="24"/>
  <c r="H114" i="24"/>
  <c r="G114" i="24"/>
  <c r="E114" i="24"/>
  <c r="D114" i="24"/>
  <c r="C114" i="24"/>
  <c r="B114" i="24"/>
  <c r="L113" i="24"/>
  <c r="K113" i="24"/>
  <c r="J113" i="24"/>
  <c r="I113" i="24"/>
  <c r="H113" i="24"/>
  <c r="G113" i="24"/>
  <c r="E113" i="24"/>
  <c r="D113" i="24"/>
  <c r="C113" i="24"/>
  <c r="B113" i="24"/>
  <c r="L112" i="24"/>
  <c r="K112" i="24"/>
  <c r="J112" i="24"/>
  <c r="I112" i="24"/>
  <c r="H112" i="24"/>
  <c r="G112" i="24"/>
  <c r="E112" i="24"/>
  <c r="D112" i="24"/>
  <c r="C112" i="24"/>
  <c r="B112" i="24"/>
  <c r="L111" i="24"/>
  <c r="K111" i="24"/>
  <c r="J111" i="24"/>
  <c r="I111" i="24"/>
  <c r="H111" i="24"/>
  <c r="G111" i="24"/>
  <c r="E111" i="24"/>
  <c r="D111" i="24"/>
  <c r="C111" i="24"/>
  <c r="B111" i="24"/>
  <c r="L110" i="24"/>
  <c r="K110" i="24"/>
  <c r="J110" i="24"/>
  <c r="I110" i="24"/>
  <c r="H110" i="24"/>
  <c r="G110" i="24"/>
  <c r="E110" i="24"/>
  <c r="D110" i="24"/>
  <c r="C110" i="24"/>
  <c r="B110" i="24"/>
  <c r="L109" i="24"/>
  <c r="K109" i="24"/>
  <c r="J109" i="24"/>
  <c r="I109" i="24"/>
  <c r="H109" i="24"/>
  <c r="G109" i="24"/>
  <c r="E109" i="24"/>
  <c r="D109" i="24"/>
  <c r="C109" i="24"/>
  <c r="B109" i="24"/>
  <c r="L108" i="24"/>
  <c r="K108" i="24"/>
  <c r="J108" i="24"/>
  <c r="I108" i="24"/>
  <c r="H108" i="24"/>
  <c r="G108" i="24"/>
  <c r="E108" i="24"/>
  <c r="D108" i="24"/>
  <c r="C108" i="24"/>
  <c r="B108" i="24"/>
  <c r="L107" i="24"/>
  <c r="K107" i="24"/>
  <c r="J107" i="24"/>
  <c r="I107" i="24"/>
  <c r="H107" i="24"/>
  <c r="G107" i="24"/>
  <c r="E107" i="24"/>
  <c r="D107" i="24"/>
  <c r="C107" i="24"/>
  <c r="B107" i="24"/>
  <c r="L106" i="24"/>
  <c r="K106" i="24"/>
  <c r="J106" i="24"/>
  <c r="I106" i="24"/>
  <c r="H106" i="24"/>
  <c r="G106" i="24"/>
  <c r="E106" i="24"/>
  <c r="D106" i="24"/>
  <c r="C106" i="24"/>
  <c r="B106" i="24"/>
  <c r="L105" i="24"/>
  <c r="K105" i="24"/>
  <c r="J105" i="24"/>
  <c r="I105" i="24"/>
  <c r="H105" i="24"/>
  <c r="G105" i="24"/>
  <c r="E105" i="24"/>
  <c r="D105" i="24"/>
  <c r="C105" i="24"/>
  <c r="B105" i="24"/>
  <c r="L104" i="24"/>
  <c r="K104" i="24"/>
  <c r="J104" i="24"/>
  <c r="I104" i="24"/>
  <c r="H104" i="24"/>
  <c r="G104" i="24"/>
  <c r="E104" i="24"/>
  <c r="D104" i="24"/>
  <c r="C104" i="24"/>
  <c r="B104" i="24"/>
  <c r="L103" i="24"/>
  <c r="K103" i="24"/>
  <c r="J103" i="24"/>
  <c r="I103" i="24"/>
  <c r="H103" i="24"/>
  <c r="G103" i="24"/>
  <c r="E103" i="24"/>
  <c r="D103" i="24"/>
  <c r="C103" i="24"/>
  <c r="B103" i="24"/>
  <c r="L102" i="24"/>
  <c r="K102" i="24"/>
  <c r="J102" i="24"/>
  <c r="I102" i="24"/>
  <c r="H102" i="24"/>
  <c r="G102" i="24"/>
  <c r="E102" i="24"/>
  <c r="D102" i="24"/>
  <c r="C102" i="24"/>
  <c r="B102" i="24"/>
  <c r="L101" i="24"/>
  <c r="K101" i="24"/>
  <c r="J101" i="24"/>
  <c r="I101" i="24"/>
  <c r="H101" i="24"/>
  <c r="G101" i="24"/>
  <c r="E101" i="24"/>
  <c r="D101" i="24"/>
  <c r="C101" i="24"/>
  <c r="B101" i="24"/>
  <c r="L100" i="24"/>
  <c r="K100" i="24"/>
  <c r="J100" i="24"/>
  <c r="I100" i="24"/>
  <c r="H100" i="24"/>
  <c r="G100" i="24"/>
  <c r="E100" i="24"/>
  <c r="D100" i="24"/>
  <c r="C100" i="24"/>
  <c r="B100" i="24"/>
  <c r="L99" i="24"/>
  <c r="K99" i="24"/>
  <c r="J99" i="24"/>
  <c r="I99" i="24"/>
  <c r="H99" i="24"/>
  <c r="G99" i="24"/>
  <c r="E99" i="24"/>
  <c r="D99" i="24"/>
  <c r="C99" i="24"/>
  <c r="B99" i="24"/>
  <c r="L98" i="24"/>
  <c r="K98" i="24"/>
  <c r="J98" i="24"/>
  <c r="I98" i="24"/>
  <c r="H98" i="24"/>
  <c r="G98" i="24"/>
  <c r="E98" i="24"/>
  <c r="D98" i="24"/>
  <c r="C98" i="24"/>
  <c r="B98" i="24"/>
  <c r="L97" i="24"/>
  <c r="K97" i="24"/>
  <c r="J97" i="24"/>
  <c r="I97" i="24"/>
  <c r="H97" i="24"/>
  <c r="G97" i="24"/>
  <c r="E97" i="24"/>
  <c r="D97" i="24"/>
  <c r="C97" i="24"/>
  <c r="B97" i="24"/>
  <c r="L96" i="24"/>
  <c r="K96" i="24"/>
  <c r="J96" i="24"/>
  <c r="I96" i="24"/>
  <c r="H96" i="24"/>
  <c r="G96" i="24"/>
  <c r="E96" i="24"/>
  <c r="D96" i="24"/>
  <c r="C96" i="24"/>
  <c r="B96" i="24"/>
  <c r="L95" i="24"/>
  <c r="K95" i="24"/>
  <c r="J95" i="24"/>
  <c r="I95" i="24"/>
  <c r="H95" i="24"/>
  <c r="G95" i="24"/>
  <c r="E95" i="24"/>
  <c r="D95" i="24"/>
  <c r="C95" i="24"/>
  <c r="B95" i="24"/>
  <c r="L94" i="24"/>
  <c r="K94" i="24"/>
  <c r="J94" i="24"/>
  <c r="I94" i="24"/>
  <c r="H94" i="24"/>
  <c r="G94" i="24"/>
  <c r="E94" i="24"/>
  <c r="D94" i="24"/>
  <c r="C94" i="24"/>
  <c r="B94" i="24"/>
  <c r="L93" i="24"/>
  <c r="K93" i="24"/>
  <c r="J93" i="24"/>
  <c r="I93" i="24"/>
  <c r="H93" i="24"/>
  <c r="G93" i="24"/>
  <c r="E93" i="24"/>
  <c r="D93" i="24"/>
  <c r="C93" i="24"/>
  <c r="B93" i="24"/>
  <c r="L92" i="24"/>
  <c r="K92" i="24"/>
  <c r="J92" i="24"/>
  <c r="I92" i="24"/>
  <c r="H92" i="24"/>
  <c r="G92" i="24"/>
  <c r="E92" i="24"/>
  <c r="D92" i="24"/>
  <c r="C92" i="24"/>
  <c r="B92" i="24"/>
  <c r="L91" i="24"/>
  <c r="K91" i="24"/>
  <c r="J91" i="24"/>
  <c r="I91" i="24"/>
  <c r="H91" i="24"/>
  <c r="G91" i="24"/>
  <c r="E91" i="24"/>
  <c r="D91" i="24"/>
  <c r="C91" i="24"/>
  <c r="B91" i="24"/>
  <c r="L90" i="24"/>
  <c r="K90" i="24"/>
  <c r="J90" i="24"/>
  <c r="I90" i="24"/>
  <c r="H90" i="24"/>
  <c r="G90" i="24"/>
  <c r="E90" i="24"/>
  <c r="D90" i="24"/>
  <c r="C90" i="24"/>
  <c r="B90" i="24"/>
  <c r="L89" i="24"/>
  <c r="K89" i="24"/>
  <c r="J89" i="24"/>
  <c r="I89" i="24"/>
  <c r="H89" i="24"/>
  <c r="G89" i="24"/>
  <c r="E89" i="24"/>
  <c r="D89" i="24"/>
  <c r="C89" i="24"/>
  <c r="B89" i="24"/>
  <c r="L88" i="24"/>
  <c r="K88" i="24"/>
  <c r="J88" i="24"/>
  <c r="I88" i="24"/>
  <c r="H88" i="24"/>
  <c r="G88" i="24"/>
  <c r="E88" i="24"/>
  <c r="D88" i="24"/>
  <c r="C88" i="24"/>
  <c r="B88" i="24"/>
  <c r="L87" i="24"/>
  <c r="K87" i="24"/>
  <c r="J87" i="24"/>
  <c r="I87" i="24"/>
  <c r="H87" i="24"/>
  <c r="G87" i="24"/>
  <c r="E87" i="24"/>
  <c r="D87" i="24"/>
  <c r="C87" i="24"/>
  <c r="B87" i="24"/>
  <c r="L86" i="24"/>
  <c r="K86" i="24"/>
  <c r="J86" i="24"/>
  <c r="I86" i="24"/>
  <c r="H86" i="24"/>
  <c r="G86" i="24"/>
  <c r="E86" i="24"/>
  <c r="D86" i="24"/>
  <c r="C86" i="24"/>
  <c r="B86" i="24"/>
  <c r="L85" i="24"/>
  <c r="K85" i="24"/>
  <c r="J85" i="24"/>
  <c r="I85" i="24"/>
  <c r="H85" i="24"/>
  <c r="G85" i="24"/>
  <c r="E85" i="24"/>
  <c r="D85" i="24"/>
  <c r="C85" i="24"/>
  <c r="B85" i="24"/>
  <c r="L84" i="24"/>
  <c r="K84" i="24"/>
  <c r="J84" i="24"/>
  <c r="I84" i="24"/>
  <c r="H84" i="24"/>
  <c r="G84" i="24"/>
  <c r="E84" i="24"/>
  <c r="D84" i="24"/>
  <c r="C84" i="24"/>
  <c r="B84" i="24"/>
  <c r="L83" i="24"/>
  <c r="K83" i="24"/>
  <c r="J83" i="24"/>
  <c r="I83" i="24"/>
  <c r="H83" i="24"/>
  <c r="G83" i="24"/>
  <c r="E83" i="24"/>
  <c r="D83" i="24"/>
  <c r="C83" i="24"/>
  <c r="B83" i="24"/>
  <c r="L82" i="24"/>
  <c r="K82" i="24"/>
  <c r="J82" i="24"/>
  <c r="I82" i="24"/>
  <c r="H82" i="24"/>
  <c r="G82" i="24"/>
  <c r="E82" i="24"/>
  <c r="D82" i="24"/>
  <c r="C82" i="24"/>
  <c r="B82" i="24"/>
  <c r="L81" i="24"/>
  <c r="K81" i="24"/>
  <c r="J81" i="24"/>
  <c r="I81" i="24"/>
  <c r="H81" i="24"/>
  <c r="G81" i="24"/>
  <c r="E81" i="24"/>
  <c r="D81" i="24"/>
  <c r="C81" i="24"/>
  <c r="B81" i="24"/>
  <c r="L80" i="24"/>
  <c r="K80" i="24"/>
  <c r="J80" i="24"/>
  <c r="I80" i="24"/>
  <c r="H80" i="24"/>
  <c r="G80" i="24"/>
  <c r="E80" i="24"/>
  <c r="D80" i="24"/>
  <c r="C80" i="24"/>
  <c r="B80" i="24"/>
  <c r="L79" i="24"/>
  <c r="K79" i="24"/>
  <c r="J79" i="24"/>
  <c r="I79" i="24"/>
  <c r="H79" i="24"/>
  <c r="G79" i="24"/>
  <c r="E79" i="24"/>
  <c r="D79" i="24"/>
  <c r="C79" i="24"/>
  <c r="B79" i="24"/>
  <c r="L78" i="24"/>
  <c r="K78" i="24"/>
  <c r="J78" i="24"/>
  <c r="I78" i="24"/>
  <c r="H78" i="24"/>
  <c r="G78" i="24"/>
  <c r="E78" i="24"/>
  <c r="D78" i="24"/>
  <c r="C78" i="24"/>
  <c r="B78" i="24"/>
  <c r="L77" i="24"/>
  <c r="K77" i="24"/>
  <c r="J77" i="24"/>
  <c r="I77" i="24"/>
  <c r="H77" i="24"/>
  <c r="G77" i="24"/>
  <c r="E77" i="24"/>
  <c r="D77" i="24"/>
  <c r="C77" i="24"/>
  <c r="B77" i="24"/>
  <c r="L76" i="24"/>
  <c r="K76" i="24"/>
  <c r="J76" i="24"/>
  <c r="I76" i="24"/>
  <c r="H76" i="24"/>
  <c r="G76" i="24"/>
  <c r="E76" i="24"/>
  <c r="D76" i="24"/>
  <c r="C76" i="24"/>
  <c r="B76" i="24"/>
  <c r="L75" i="24"/>
  <c r="K75" i="24"/>
  <c r="J75" i="24"/>
  <c r="I75" i="24"/>
  <c r="H75" i="24"/>
  <c r="G75" i="24"/>
  <c r="E75" i="24"/>
  <c r="D75" i="24"/>
  <c r="C75" i="24"/>
  <c r="B75" i="24"/>
  <c r="L74" i="24"/>
  <c r="K74" i="24"/>
  <c r="J74" i="24"/>
  <c r="I74" i="24"/>
  <c r="H74" i="24"/>
  <c r="G74" i="24"/>
  <c r="E74" i="24"/>
  <c r="D74" i="24"/>
  <c r="C74" i="24"/>
  <c r="B74" i="24"/>
  <c r="L73" i="24"/>
  <c r="K73" i="24"/>
  <c r="J73" i="24"/>
  <c r="I73" i="24"/>
  <c r="H73" i="24"/>
  <c r="G73" i="24"/>
  <c r="E73" i="24"/>
  <c r="D73" i="24"/>
  <c r="C73" i="24"/>
  <c r="B73" i="24"/>
  <c r="L72" i="24"/>
  <c r="K72" i="24"/>
  <c r="J72" i="24"/>
  <c r="I72" i="24"/>
  <c r="H72" i="24"/>
  <c r="G72" i="24"/>
  <c r="E72" i="24"/>
  <c r="D72" i="24"/>
  <c r="C72" i="24"/>
  <c r="B72" i="24"/>
  <c r="L71" i="24"/>
  <c r="K71" i="24"/>
  <c r="J71" i="24"/>
  <c r="I71" i="24"/>
  <c r="H71" i="24"/>
  <c r="G71" i="24"/>
  <c r="E71" i="24"/>
  <c r="D71" i="24"/>
  <c r="C71" i="24"/>
  <c r="B71" i="24"/>
  <c r="L70" i="24"/>
  <c r="K70" i="24"/>
  <c r="J70" i="24"/>
  <c r="I70" i="24"/>
  <c r="H70" i="24"/>
  <c r="G70" i="24"/>
  <c r="E70" i="24"/>
  <c r="D70" i="24"/>
  <c r="C70" i="24"/>
  <c r="B70" i="24"/>
  <c r="L69" i="24"/>
  <c r="K69" i="24"/>
  <c r="J69" i="24"/>
  <c r="I69" i="24"/>
  <c r="H69" i="24"/>
  <c r="G69" i="24"/>
  <c r="E69" i="24"/>
  <c r="D69" i="24"/>
  <c r="C69" i="24"/>
  <c r="B69" i="24"/>
  <c r="L68" i="24"/>
  <c r="K68" i="24"/>
  <c r="J68" i="24"/>
  <c r="I68" i="24"/>
  <c r="H68" i="24"/>
  <c r="G68" i="24"/>
  <c r="E68" i="24"/>
  <c r="D68" i="24"/>
  <c r="C68" i="24"/>
  <c r="B68" i="24"/>
  <c r="L67" i="24"/>
  <c r="K67" i="24"/>
  <c r="J67" i="24"/>
  <c r="I67" i="24"/>
  <c r="H67" i="24"/>
  <c r="G67" i="24"/>
  <c r="E67" i="24"/>
  <c r="D67" i="24"/>
  <c r="C67" i="24"/>
  <c r="B67" i="24"/>
  <c r="L66" i="24"/>
  <c r="K66" i="24"/>
  <c r="J66" i="24"/>
  <c r="I66" i="24"/>
  <c r="H66" i="24"/>
  <c r="G66" i="24"/>
  <c r="E66" i="24"/>
  <c r="D66" i="24"/>
  <c r="C66" i="24"/>
  <c r="B66" i="24"/>
  <c r="L65" i="24"/>
  <c r="K65" i="24"/>
  <c r="J65" i="24"/>
  <c r="I65" i="24"/>
  <c r="H65" i="24"/>
  <c r="G65" i="24"/>
  <c r="E65" i="24"/>
  <c r="D65" i="24"/>
  <c r="C65" i="24"/>
  <c r="B65" i="24"/>
  <c r="L64" i="24"/>
  <c r="K64" i="24"/>
  <c r="J64" i="24"/>
  <c r="I64" i="24"/>
  <c r="H64" i="24"/>
  <c r="G64" i="24"/>
  <c r="E64" i="24"/>
  <c r="D64" i="24"/>
  <c r="C64" i="24"/>
  <c r="B64" i="24"/>
  <c r="L63" i="24"/>
  <c r="K63" i="24"/>
  <c r="J63" i="24"/>
  <c r="I63" i="24"/>
  <c r="H63" i="24"/>
  <c r="G63" i="24"/>
  <c r="E63" i="24"/>
  <c r="D63" i="24"/>
  <c r="C63" i="24"/>
  <c r="B63" i="24"/>
  <c r="L62" i="24"/>
  <c r="K62" i="24"/>
  <c r="J62" i="24"/>
  <c r="I62" i="24"/>
  <c r="H62" i="24"/>
  <c r="G62" i="24"/>
  <c r="E62" i="24"/>
  <c r="D62" i="24"/>
  <c r="C62" i="24"/>
  <c r="B62" i="24"/>
  <c r="L61" i="24"/>
  <c r="K61" i="24"/>
  <c r="J61" i="24"/>
  <c r="I61" i="24"/>
  <c r="H61" i="24"/>
  <c r="G61" i="24"/>
  <c r="E61" i="24"/>
  <c r="D61" i="24"/>
  <c r="C61" i="24"/>
  <c r="B61" i="24"/>
  <c r="L60" i="24"/>
  <c r="K60" i="24"/>
  <c r="J60" i="24"/>
  <c r="I60" i="24"/>
  <c r="H60" i="24"/>
  <c r="G60" i="24"/>
  <c r="E60" i="24"/>
  <c r="D60" i="24"/>
  <c r="C60" i="24"/>
  <c r="B60" i="24"/>
  <c r="L59" i="24"/>
  <c r="K59" i="24"/>
  <c r="J59" i="24"/>
  <c r="I59" i="24"/>
  <c r="H59" i="24"/>
  <c r="G59" i="24"/>
  <c r="E59" i="24"/>
  <c r="D59" i="24"/>
  <c r="C59" i="24"/>
  <c r="B59" i="24"/>
  <c r="L58" i="24"/>
  <c r="K58" i="24"/>
  <c r="J58" i="24"/>
  <c r="I58" i="24"/>
  <c r="H58" i="24"/>
  <c r="G58" i="24"/>
  <c r="E58" i="24"/>
  <c r="D58" i="24"/>
  <c r="C58" i="24"/>
  <c r="B58" i="24"/>
  <c r="L57" i="24"/>
  <c r="K57" i="24"/>
  <c r="J57" i="24"/>
  <c r="I57" i="24"/>
  <c r="H57" i="24"/>
  <c r="G57" i="24"/>
  <c r="E57" i="24"/>
  <c r="D57" i="24"/>
  <c r="C57" i="24"/>
  <c r="B57" i="24"/>
  <c r="L56" i="24"/>
  <c r="K56" i="24"/>
  <c r="J56" i="24"/>
  <c r="I56" i="24"/>
  <c r="H56" i="24"/>
  <c r="G56" i="24"/>
  <c r="E56" i="24"/>
  <c r="D56" i="24"/>
  <c r="C56" i="24"/>
  <c r="B56" i="24"/>
  <c r="L55" i="24"/>
  <c r="K55" i="24"/>
  <c r="J55" i="24"/>
  <c r="I55" i="24"/>
  <c r="H55" i="24"/>
  <c r="G55" i="24"/>
  <c r="E55" i="24"/>
  <c r="D55" i="24"/>
  <c r="C55" i="24"/>
  <c r="B55" i="24"/>
  <c r="L54" i="24"/>
  <c r="K54" i="24"/>
  <c r="J54" i="24"/>
  <c r="I54" i="24"/>
  <c r="H54" i="24"/>
  <c r="G54" i="24"/>
  <c r="E54" i="24"/>
  <c r="D54" i="24"/>
  <c r="C54" i="24"/>
  <c r="B54" i="24"/>
  <c r="L53" i="24"/>
  <c r="K53" i="24"/>
  <c r="J53" i="24"/>
  <c r="I53" i="24"/>
  <c r="H53" i="24"/>
  <c r="G53" i="24"/>
  <c r="E53" i="24"/>
  <c r="D53" i="24"/>
  <c r="C53" i="24"/>
  <c r="B53" i="24"/>
  <c r="L52" i="24"/>
  <c r="K52" i="24"/>
  <c r="J52" i="24"/>
  <c r="I52" i="24"/>
  <c r="H52" i="24"/>
  <c r="G52" i="24"/>
  <c r="E52" i="24"/>
  <c r="D52" i="24"/>
  <c r="C52" i="24"/>
  <c r="B52" i="24"/>
  <c r="L51" i="24"/>
  <c r="K51" i="24"/>
  <c r="J51" i="24"/>
  <c r="I51" i="24"/>
  <c r="H51" i="24"/>
  <c r="G51" i="24"/>
  <c r="E51" i="24"/>
  <c r="D51" i="24"/>
  <c r="C51" i="24"/>
  <c r="B51" i="24"/>
  <c r="L50" i="24"/>
  <c r="K50" i="24"/>
  <c r="J50" i="24"/>
  <c r="I50" i="24"/>
  <c r="H50" i="24"/>
  <c r="G50" i="24"/>
  <c r="E50" i="24"/>
  <c r="D50" i="24"/>
  <c r="C50" i="24"/>
  <c r="B50" i="24"/>
  <c r="L49" i="24"/>
  <c r="K49" i="24"/>
  <c r="J49" i="24"/>
  <c r="I49" i="24"/>
  <c r="H49" i="24"/>
  <c r="G49" i="24"/>
  <c r="E49" i="24"/>
  <c r="D49" i="24"/>
  <c r="C49" i="24"/>
  <c r="B49" i="24"/>
  <c r="L48" i="24"/>
  <c r="K48" i="24"/>
  <c r="J48" i="24"/>
  <c r="I48" i="24"/>
  <c r="H48" i="24"/>
  <c r="G48" i="24"/>
  <c r="E48" i="24"/>
  <c r="D48" i="24"/>
  <c r="C48" i="24"/>
  <c r="B48" i="24"/>
  <c r="L47" i="24"/>
  <c r="K47" i="24"/>
  <c r="J47" i="24"/>
  <c r="I47" i="24"/>
  <c r="H47" i="24"/>
  <c r="G47" i="24"/>
  <c r="E47" i="24"/>
  <c r="D47" i="24"/>
  <c r="C47" i="24"/>
  <c r="B47" i="24"/>
  <c r="L46" i="24"/>
  <c r="K46" i="24"/>
  <c r="J46" i="24"/>
  <c r="I46" i="24"/>
  <c r="H46" i="24"/>
  <c r="G46" i="24"/>
  <c r="E46" i="24"/>
  <c r="D46" i="24"/>
  <c r="C46" i="24"/>
  <c r="B46" i="24"/>
  <c r="L45" i="24"/>
  <c r="K45" i="24"/>
  <c r="J45" i="24"/>
  <c r="I45" i="24"/>
  <c r="H45" i="24"/>
  <c r="G45" i="24"/>
  <c r="E45" i="24"/>
  <c r="D45" i="24"/>
  <c r="C45" i="24"/>
  <c r="B45" i="24"/>
  <c r="L44" i="24"/>
  <c r="K44" i="24"/>
  <c r="J44" i="24"/>
  <c r="I44" i="24"/>
  <c r="H44" i="24"/>
  <c r="G44" i="24"/>
  <c r="E44" i="24"/>
  <c r="D44" i="24"/>
  <c r="C44" i="24"/>
  <c r="B44" i="24"/>
  <c r="L43" i="24"/>
  <c r="K43" i="24"/>
  <c r="J43" i="24"/>
  <c r="I43" i="24"/>
  <c r="H43" i="24"/>
  <c r="G43" i="24"/>
  <c r="E43" i="24"/>
  <c r="D43" i="24"/>
  <c r="C43" i="24"/>
  <c r="B43" i="24"/>
  <c r="L42" i="24"/>
  <c r="K42" i="24"/>
  <c r="J42" i="24"/>
  <c r="I42" i="24"/>
  <c r="H42" i="24"/>
  <c r="G42" i="24"/>
  <c r="E42" i="24"/>
  <c r="D42" i="24"/>
  <c r="C42" i="24"/>
  <c r="B42" i="24"/>
  <c r="L41" i="24"/>
  <c r="K41" i="24"/>
  <c r="J41" i="24"/>
  <c r="I41" i="24"/>
  <c r="H41" i="24"/>
  <c r="G41" i="24"/>
  <c r="E41" i="24"/>
  <c r="D41" i="24"/>
  <c r="C41" i="24"/>
  <c r="B41" i="24"/>
  <c r="L40" i="24"/>
  <c r="K40" i="24"/>
  <c r="J40" i="24"/>
  <c r="I40" i="24"/>
  <c r="H40" i="24"/>
  <c r="G40" i="24"/>
  <c r="E40" i="24"/>
  <c r="D40" i="24"/>
  <c r="C40" i="24"/>
  <c r="B40" i="24"/>
  <c r="L39" i="24"/>
  <c r="K39" i="24"/>
  <c r="J39" i="24"/>
  <c r="I39" i="24"/>
  <c r="H39" i="24"/>
  <c r="G39" i="24"/>
  <c r="E39" i="24"/>
  <c r="D39" i="24"/>
  <c r="C39" i="24"/>
  <c r="B39" i="24"/>
  <c r="L38" i="24"/>
  <c r="K38" i="24"/>
  <c r="J38" i="24"/>
  <c r="I38" i="24"/>
  <c r="H38" i="24"/>
  <c r="G38" i="24"/>
  <c r="E38" i="24"/>
  <c r="D38" i="24"/>
  <c r="C38" i="24"/>
  <c r="B38" i="24"/>
  <c r="L37" i="24"/>
  <c r="K37" i="24"/>
  <c r="J37" i="24"/>
  <c r="I37" i="24"/>
  <c r="H37" i="24"/>
  <c r="G37" i="24"/>
  <c r="E37" i="24"/>
  <c r="D37" i="24"/>
  <c r="C37" i="24"/>
  <c r="B37" i="24"/>
  <c r="L36" i="24"/>
  <c r="K36" i="24"/>
  <c r="J36" i="24"/>
  <c r="I36" i="24"/>
  <c r="H36" i="24"/>
  <c r="G36" i="24"/>
  <c r="E36" i="24"/>
  <c r="D36" i="24"/>
  <c r="C36" i="24"/>
  <c r="B36" i="24"/>
  <c r="L35" i="24"/>
  <c r="K35" i="24"/>
  <c r="J35" i="24"/>
  <c r="I35" i="24"/>
  <c r="H35" i="24"/>
  <c r="G35" i="24"/>
  <c r="E35" i="24"/>
  <c r="D35" i="24"/>
  <c r="C35" i="24"/>
  <c r="B35" i="24"/>
  <c r="L34" i="24"/>
  <c r="K34" i="24"/>
  <c r="J34" i="24"/>
  <c r="I34" i="24"/>
  <c r="H34" i="24"/>
  <c r="G34" i="24"/>
  <c r="E34" i="24"/>
  <c r="D34" i="24"/>
  <c r="C34" i="24"/>
  <c r="B34" i="24"/>
  <c r="L33" i="24"/>
  <c r="K33" i="24"/>
  <c r="J33" i="24"/>
  <c r="I33" i="24"/>
  <c r="H33" i="24"/>
  <c r="G33" i="24"/>
  <c r="E33" i="24"/>
  <c r="D33" i="24"/>
  <c r="C33" i="24"/>
  <c r="B33" i="24"/>
  <c r="L32" i="24"/>
  <c r="K32" i="24"/>
  <c r="J32" i="24"/>
  <c r="I32" i="24"/>
  <c r="H32" i="24"/>
  <c r="G32" i="24"/>
  <c r="E32" i="24"/>
  <c r="D32" i="24"/>
  <c r="C32" i="24"/>
  <c r="B32" i="24"/>
  <c r="L31" i="24"/>
  <c r="K31" i="24"/>
  <c r="J31" i="24"/>
  <c r="I31" i="24"/>
  <c r="H31" i="24"/>
  <c r="G31" i="24"/>
  <c r="E31" i="24"/>
  <c r="D31" i="24"/>
  <c r="C31" i="24"/>
  <c r="B31" i="24"/>
  <c r="L30" i="24"/>
  <c r="K30" i="24"/>
  <c r="J30" i="24"/>
  <c r="I30" i="24"/>
  <c r="H30" i="24"/>
  <c r="G30" i="24"/>
  <c r="E30" i="24"/>
  <c r="D30" i="24"/>
  <c r="C30" i="24"/>
  <c r="B30" i="24"/>
  <c r="L29" i="24"/>
  <c r="K29" i="24"/>
  <c r="J29" i="24"/>
  <c r="I29" i="24"/>
  <c r="H29" i="24"/>
  <c r="G29" i="24"/>
  <c r="E29" i="24"/>
  <c r="D29" i="24"/>
  <c r="C29" i="24"/>
  <c r="B29" i="24"/>
  <c r="L28" i="24"/>
  <c r="K28" i="24"/>
  <c r="J28" i="24"/>
  <c r="I28" i="24"/>
  <c r="H28" i="24"/>
  <c r="G28" i="24"/>
  <c r="E28" i="24"/>
  <c r="D28" i="24"/>
  <c r="C28" i="24"/>
  <c r="B28" i="24"/>
  <c r="L27" i="24"/>
  <c r="K27" i="24"/>
  <c r="J27" i="24"/>
  <c r="I27" i="24"/>
  <c r="H27" i="24"/>
  <c r="G27" i="24"/>
  <c r="E27" i="24"/>
  <c r="D27" i="24"/>
  <c r="C27" i="24"/>
  <c r="B27" i="24"/>
  <c r="L26" i="24"/>
  <c r="K26" i="24"/>
  <c r="J26" i="24"/>
  <c r="I26" i="24"/>
  <c r="H26" i="24"/>
  <c r="G26" i="24"/>
  <c r="E26" i="24"/>
  <c r="D26" i="24"/>
  <c r="C26" i="24"/>
  <c r="B26" i="24"/>
  <c r="L25" i="24"/>
  <c r="K25" i="24"/>
  <c r="J25" i="24"/>
  <c r="I25" i="24"/>
  <c r="H25" i="24"/>
  <c r="G25" i="24"/>
  <c r="E25" i="24"/>
  <c r="D25" i="24"/>
  <c r="C25" i="24"/>
  <c r="B25" i="24"/>
  <c r="L24" i="24"/>
  <c r="K24" i="24"/>
  <c r="J24" i="24"/>
  <c r="I24" i="24"/>
  <c r="H24" i="24"/>
  <c r="G24" i="24"/>
  <c r="E24" i="24"/>
  <c r="D24" i="24"/>
  <c r="C24" i="24"/>
  <c r="B24" i="24"/>
  <c r="L23" i="24"/>
  <c r="K23" i="24"/>
  <c r="J23" i="24"/>
  <c r="I23" i="24"/>
  <c r="H23" i="24"/>
  <c r="G23" i="24"/>
  <c r="E23" i="24"/>
  <c r="D23" i="24"/>
  <c r="C23" i="24"/>
  <c r="B23" i="24"/>
  <c r="L22" i="24"/>
  <c r="K22" i="24"/>
  <c r="J22" i="24"/>
  <c r="I22" i="24"/>
  <c r="H22" i="24"/>
  <c r="G22" i="24"/>
  <c r="E22" i="24"/>
  <c r="D22" i="24"/>
  <c r="C22" i="24"/>
  <c r="B22" i="24"/>
  <c r="L21" i="24"/>
  <c r="K21" i="24"/>
  <c r="J21" i="24"/>
  <c r="I21" i="24"/>
  <c r="H21" i="24"/>
  <c r="G21" i="24"/>
  <c r="E21" i="24"/>
  <c r="D21" i="24"/>
  <c r="C21" i="24"/>
  <c r="B21" i="24"/>
  <c r="L20" i="24"/>
  <c r="K20" i="24"/>
  <c r="J20" i="24"/>
  <c r="I20" i="24"/>
  <c r="H20" i="24"/>
  <c r="G20" i="24"/>
  <c r="E20" i="24"/>
  <c r="D20" i="24"/>
  <c r="C20" i="24"/>
  <c r="B20" i="24"/>
  <c r="L19" i="24"/>
  <c r="K19" i="24"/>
  <c r="J19" i="24"/>
  <c r="I19" i="24"/>
  <c r="H19" i="24"/>
  <c r="G19" i="24"/>
  <c r="E19" i="24"/>
  <c r="D19" i="24"/>
  <c r="C19" i="24"/>
  <c r="B19" i="24"/>
  <c r="L18" i="24"/>
  <c r="K18" i="24"/>
  <c r="J18" i="24"/>
  <c r="I18" i="24"/>
  <c r="H18" i="24"/>
  <c r="G18" i="24"/>
  <c r="E18" i="24"/>
  <c r="D18" i="24"/>
  <c r="C18" i="24"/>
  <c r="B18" i="24"/>
  <c r="L17" i="24"/>
  <c r="K17" i="24"/>
  <c r="J17" i="24"/>
  <c r="I17" i="24"/>
  <c r="H17" i="24"/>
  <c r="G17" i="24"/>
  <c r="E17" i="24"/>
  <c r="D17" i="24"/>
  <c r="C17" i="24"/>
  <c r="B17" i="24"/>
  <c r="L16" i="24"/>
  <c r="K16" i="24"/>
  <c r="J16" i="24"/>
  <c r="I16" i="24"/>
  <c r="H16" i="24"/>
  <c r="G16" i="24"/>
  <c r="E16" i="24"/>
  <c r="D16" i="24"/>
  <c r="C16" i="24"/>
  <c r="B16" i="24"/>
  <c r="L15" i="24"/>
  <c r="K15" i="24"/>
  <c r="J15" i="24"/>
  <c r="I15" i="24"/>
  <c r="H15" i="24"/>
  <c r="G15" i="24"/>
  <c r="E15" i="24"/>
  <c r="D15" i="24"/>
  <c r="C15" i="24"/>
  <c r="B15" i="24"/>
  <c r="L14" i="24"/>
  <c r="K14" i="24"/>
  <c r="J14" i="24"/>
  <c r="I14" i="24"/>
  <c r="H14" i="24"/>
  <c r="G14" i="24"/>
  <c r="E14" i="24"/>
  <c r="D14" i="24"/>
  <c r="C14" i="24"/>
  <c r="B14" i="24"/>
  <c r="L13" i="24"/>
  <c r="K13" i="24"/>
  <c r="J13" i="24"/>
  <c r="I13" i="24"/>
  <c r="H13" i="24"/>
  <c r="G13" i="24"/>
  <c r="E13" i="24"/>
  <c r="D13" i="24"/>
  <c r="C13" i="24"/>
  <c r="B13" i="24"/>
  <c r="L12" i="24"/>
  <c r="K12" i="24"/>
  <c r="J12" i="24"/>
  <c r="I12" i="24"/>
  <c r="H12" i="24"/>
  <c r="G12" i="24"/>
  <c r="E12" i="24"/>
  <c r="D12" i="24"/>
  <c r="C12" i="24"/>
  <c r="B12" i="24"/>
  <c r="L11" i="24"/>
  <c r="K11" i="24"/>
  <c r="J11" i="24"/>
  <c r="I11" i="24"/>
  <c r="H11" i="24"/>
  <c r="G11" i="24"/>
  <c r="E11" i="24"/>
  <c r="D11" i="24"/>
  <c r="C11" i="24"/>
  <c r="B11" i="24"/>
  <c r="L10" i="24"/>
  <c r="K10" i="24"/>
  <c r="J10" i="24"/>
  <c r="I10" i="24"/>
  <c r="H10" i="24"/>
  <c r="G10" i="24"/>
  <c r="E10" i="24"/>
  <c r="D10" i="24"/>
  <c r="C10" i="24"/>
  <c r="B10" i="24"/>
  <c r="L9" i="24"/>
  <c r="K9" i="24"/>
  <c r="J9" i="24"/>
  <c r="I9" i="24"/>
  <c r="H9" i="24"/>
  <c r="G9" i="24"/>
  <c r="E9" i="24"/>
  <c r="D9" i="24"/>
  <c r="C9" i="24"/>
  <c r="B9" i="24"/>
  <c r="L8" i="24"/>
  <c r="K8" i="24"/>
  <c r="J8" i="24"/>
  <c r="I8" i="24"/>
  <c r="H8" i="24"/>
  <c r="G8" i="24"/>
  <c r="E8" i="24"/>
  <c r="D8" i="24"/>
  <c r="C8" i="24"/>
  <c r="B8" i="24"/>
  <c r="L7" i="24"/>
  <c r="K7" i="24"/>
  <c r="J7" i="24"/>
  <c r="I7" i="24"/>
  <c r="H7" i="24"/>
  <c r="G7" i="24"/>
  <c r="E7" i="24"/>
  <c r="D7" i="24"/>
  <c r="C7" i="24"/>
  <c r="B7" i="24"/>
  <c r="L6" i="24"/>
  <c r="K6" i="24"/>
  <c r="J6" i="24"/>
  <c r="I6" i="24"/>
  <c r="H6" i="24"/>
  <c r="G6" i="24"/>
  <c r="E6" i="24"/>
  <c r="D6" i="24"/>
  <c r="C6" i="24"/>
  <c r="B6" i="24"/>
  <c r="L5" i="24"/>
  <c r="K5" i="24"/>
  <c r="J5" i="24"/>
  <c r="I5" i="24"/>
  <c r="H5" i="24"/>
  <c r="G5" i="24"/>
  <c r="E5" i="24"/>
  <c r="D5" i="24"/>
  <c r="C5" i="24"/>
  <c r="B5" i="24"/>
  <c r="L4" i="24"/>
  <c r="K4" i="24"/>
  <c r="J4" i="24"/>
  <c r="I4" i="24"/>
  <c r="H4" i="24"/>
  <c r="G4" i="24"/>
  <c r="E4" i="24"/>
  <c r="D4" i="24"/>
  <c r="C4" i="24"/>
  <c r="B4" i="24"/>
  <c r="L3" i="24"/>
  <c r="K3" i="24"/>
  <c r="J3" i="24"/>
  <c r="I3" i="24"/>
  <c r="H3" i="24"/>
  <c r="G3" i="24"/>
  <c r="E3" i="24"/>
  <c r="D3" i="24"/>
  <c r="C3" i="24"/>
  <c r="B3" i="24"/>
  <c r="L2" i="24"/>
  <c r="K2" i="24"/>
  <c r="J2" i="24"/>
  <c r="I2" i="24"/>
  <c r="H2" i="24"/>
  <c r="G2" i="24"/>
  <c r="E2" i="24"/>
  <c r="D2" i="24"/>
  <c r="C2" i="24"/>
  <c r="B2" i="24"/>
  <c r="J118" i="23"/>
  <c r="G118" i="23"/>
  <c r="D118" i="23"/>
  <c r="C118" i="23"/>
  <c r="B118" i="23"/>
  <c r="A118" i="23"/>
  <c r="J117" i="23"/>
  <c r="G117" i="23"/>
  <c r="D117" i="23"/>
  <c r="C117" i="23"/>
  <c r="B117" i="23"/>
  <c r="A117" i="23"/>
  <c r="J116" i="23"/>
  <c r="G116" i="23"/>
  <c r="F116" i="23"/>
  <c r="D116" i="23"/>
  <c r="C116" i="23"/>
  <c r="B116" i="23"/>
  <c r="A116" i="23"/>
  <c r="J115" i="23"/>
  <c r="G115" i="23"/>
  <c r="D115" i="23"/>
  <c r="C115" i="23"/>
  <c r="B115" i="23"/>
  <c r="A115" i="23"/>
  <c r="J114" i="23"/>
  <c r="G114" i="23"/>
  <c r="D114" i="23"/>
  <c r="C114" i="23"/>
  <c r="B114" i="23"/>
  <c r="A114" i="23"/>
  <c r="J113" i="23"/>
  <c r="G113" i="23"/>
  <c r="D113" i="23"/>
  <c r="C113" i="23"/>
  <c r="B113" i="23"/>
  <c r="A113" i="23"/>
  <c r="J112" i="23"/>
  <c r="G112" i="23"/>
  <c r="F112" i="23"/>
  <c r="D112" i="23"/>
  <c r="C112" i="23"/>
  <c r="B112" i="23"/>
  <c r="A112" i="23"/>
  <c r="J111" i="23"/>
  <c r="G111" i="23"/>
  <c r="D111" i="23"/>
  <c r="C111" i="23"/>
  <c r="B111" i="23"/>
  <c r="A111" i="23"/>
  <c r="J110" i="23"/>
  <c r="G110" i="23"/>
  <c r="D110" i="23"/>
  <c r="C110" i="23"/>
  <c r="B110" i="23"/>
  <c r="A110" i="23"/>
  <c r="J109" i="23"/>
  <c r="G109" i="23"/>
  <c r="D109" i="23"/>
  <c r="C109" i="23"/>
  <c r="B109" i="23"/>
  <c r="A109" i="23"/>
  <c r="J108" i="23"/>
  <c r="G108" i="23"/>
  <c r="D108" i="23"/>
  <c r="C108" i="23"/>
  <c r="B108" i="23"/>
  <c r="A108" i="23"/>
  <c r="J107" i="23"/>
  <c r="G107" i="23"/>
  <c r="D107" i="23"/>
  <c r="C107" i="23"/>
  <c r="B107" i="23"/>
  <c r="A107" i="23"/>
  <c r="J106" i="23"/>
  <c r="G106" i="23"/>
  <c r="D106" i="23"/>
  <c r="C106" i="23"/>
  <c r="B106" i="23"/>
  <c r="A106" i="23"/>
  <c r="J105" i="23"/>
  <c r="G105" i="23"/>
  <c r="D105" i="23"/>
  <c r="C105" i="23"/>
  <c r="B105" i="23"/>
  <c r="A105" i="23"/>
  <c r="J104" i="23"/>
  <c r="G104" i="23"/>
  <c r="D104" i="23"/>
  <c r="C104" i="23"/>
  <c r="B104" i="23"/>
  <c r="A104" i="23"/>
  <c r="J103" i="23"/>
  <c r="G103" i="23"/>
  <c r="D103" i="23"/>
  <c r="C103" i="23"/>
  <c r="B103" i="23"/>
  <c r="A103" i="23"/>
  <c r="J102" i="23"/>
  <c r="G102" i="23"/>
  <c r="D102" i="23"/>
  <c r="C102" i="23"/>
  <c r="B102" i="23"/>
  <c r="A102" i="23"/>
  <c r="J101" i="23"/>
  <c r="G101" i="23"/>
  <c r="D101" i="23"/>
  <c r="C101" i="23"/>
  <c r="B101" i="23"/>
  <c r="A101" i="23"/>
  <c r="J100" i="23"/>
  <c r="G100" i="23"/>
  <c r="D100" i="23"/>
  <c r="C100" i="23"/>
  <c r="B100" i="23"/>
  <c r="A100" i="23"/>
  <c r="J99" i="23"/>
  <c r="G99" i="23"/>
  <c r="D99" i="23"/>
  <c r="C99" i="23"/>
  <c r="B99" i="23"/>
  <c r="A99" i="23"/>
  <c r="J98" i="23"/>
  <c r="G98" i="23"/>
  <c r="D98" i="23"/>
  <c r="C98" i="23"/>
  <c r="B98" i="23"/>
  <c r="A98" i="23"/>
  <c r="J97" i="23"/>
  <c r="G97" i="23"/>
  <c r="D97" i="23"/>
  <c r="C97" i="23"/>
  <c r="B97" i="23"/>
  <c r="A97" i="23"/>
  <c r="J96" i="23"/>
  <c r="G96" i="23"/>
  <c r="D96" i="23"/>
  <c r="C96" i="23"/>
  <c r="B96" i="23"/>
  <c r="A96" i="23"/>
  <c r="J95" i="23"/>
  <c r="G95" i="23"/>
  <c r="D95" i="23"/>
  <c r="C95" i="23"/>
  <c r="B95" i="23"/>
  <c r="A95" i="23"/>
  <c r="J94" i="23"/>
  <c r="G94" i="23"/>
  <c r="D94" i="23"/>
  <c r="C94" i="23"/>
  <c r="B94" i="23"/>
  <c r="A94" i="23"/>
  <c r="J93" i="23"/>
  <c r="G93" i="23"/>
  <c r="D93" i="23"/>
  <c r="C93" i="23"/>
  <c r="B93" i="23"/>
  <c r="A93" i="23"/>
  <c r="J92" i="23"/>
  <c r="G92" i="23"/>
  <c r="D92" i="23"/>
  <c r="C92" i="23"/>
  <c r="B92" i="23"/>
  <c r="A92" i="23"/>
  <c r="J91" i="23"/>
  <c r="G91" i="23"/>
  <c r="D91" i="23"/>
  <c r="C91" i="23"/>
  <c r="B91" i="23"/>
  <c r="A91" i="23"/>
  <c r="J90" i="23"/>
  <c r="G90" i="23"/>
  <c r="D90" i="23"/>
  <c r="C90" i="23"/>
  <c r="B90" i="23"/>
  <c r="A90" i="23"/>
  <c r="J89" i="23"/>
  <c r="G89" i="23"/>
  <c r="D89" i="23"/>
  <c r="C89" i="23"/>
  <c r="B89" i="23"/>
  <c r="A89" i="23"/>
  <c r="J88" i="23"/>
  <c r="G88" i="23"/>
  <c r="D88" i="23"/>
  <c r="C88" i="23"/>
  <c r="B88" i="23"/>
  <c r="A88" i="23"/>
  <c r="J87" i="23"/>
  <c r="G87" i="23"/>
  <c r="D87" i="23"/>
  <c r="C87" i="23"/>
  <c r="B87" i="23"/>
  <c r="A87" i="23"/>
  <c r="J86" i="23"/>
  <c r="G86" i="23"/>
  <c r="D86" i="23"/>
  <c r="C86" i="23"/>
  <c r="B86" i="23"/>
  <c r="A86" i="23"/>
  <c r="J85" i="23"/>
  <c r="G85" i="23"/>
  <c r="D85" i="23"/>
  <c r="C85" i="23"/>
  <c r="B85" i="23"/>
  <c r="A85" i="23"/>
  <c r="J84" i="23"/>
  <c r="G84" i="23"/>
  <c r="D84" i="23"/>
  <c r="C84" i="23"/>
  <c r="B84" i="23"/>
  <c r="A84" i="23"/>
  <c r="J83" i="23"/>
  <c r="G83" i="23"/>
  <c r="D83" i="23"/>
  <c r="C83" i="23"/>
  <c r="B83" i="23"/>
  <c r="A83" i="23"/>
  <c r="J82" i="23"/>
  <c r="G82" i="23"/>
  <c r="D82" i="23"/>
  <c r="C82" i="23"/>
  <c r="B82" i="23"/>
  <c r="A82" i="23"/>
  <c r="J81" i="23"/>
  <c r="G81" i="23"/>
  <c r="D81" i="23"/>
  <c r="C81" i="23"/>
  <c r="B81" i="23"/>
  <c r="A81" i="23"/>
  <c r="J80" i="23"/>
  <c r="G80" i="23"/>
  <c r="D80" i="23"/>
  <c r="C80" i="23"/>
  <c r="B80" i="23"/>
  <c r="A80" i="23"/>
  <c r="J79" i="23"/>
  <c r="G79" i="23"/>
  <c r="D79" i="23"/>
  <c r="C79" i="23"/>
  <c r="B79" i="23"/>
  <c r="A79" i="23"/>
  <c r="J78" i="23"/>
  <c r="G78" i="23"/>
  <c r="D78" i="23"/>
  <c r="C78" i="23"/>
  <c r="B78" i="23"/>
  <c r="A78" i="23"/>
  <c r="J77" i="23"/>
  <c r="G77" i="23"/>
  <c r="D77" i="23"/>
  <c r="C77" i="23"/>
  <c r="B77" i="23"/>
  <c r="A77" i="23"/>
  <c r="J76" i="23"/>
  <c r="G76" i="23"/>
  <c r="D76" i="23"/>
  <c r="C76" i="23"/>
  <c r="B76" i="23"/>
  <c r="A76" i="23"/>
  <c r="J75" i="23"/>
  <c r="G75" i="23"/>
  <c r="D75" i="23"/>
  <c r="C75" i="23"/>
  <c r="B75" i="23"/>
  <c r="A75" i="23"/>
  <c r="J74" i="23"/>
  <c r="G74" i="23"/>
  <c r="D74" i="23"/>
  <c r="C74" i="23"/>
  <c r="B74" i="23"/>
  <c r="A74" i="23"/>
  <c r="J73" i="23"/>
  <c r="G73" i="23"/>
  <c r="D73" i="23"/>
  <c r="C73" i="23"/>
  <c r="B73" i="23"/>
  <c r="A73" i="23"/>
  <c r="J72" i="23"/>
  <c r="G72" i="23"/>
  <c r="D72" i="23"/>
  <c r="C72" i="23"/>
  <c r="B72" i="23"/>
  <c r="A72" i="23"/>
  <c r="J71" i="23"/>
  <c r="G71" i="23"/>
  <c r="D71" i="23"/>
  <c r="C71" i="23"/>
  <c r="B71" i="23"/>
  <c r="A71" i="23"/>
  <c r="J70" i="23"/>
  <c r="G70" i="23"/>
  <c r="D70" i="23"/>
  <c r="C70" i="23"/>
  <c r="B70" i="23"/>
  <c r="A70" i="23"/>
  <c r="J69" i="23"/>
  <c r="G69" i="23"/>
  <c r="D69" i="23"/>
  <c r="C69" i="23"/>
  <c r="B69" i="23"/>
  <c r="A69" i="23"/>
  <c r="J68" i="23"/>
  <c r="G68" i="23"/>
  <c r="D68" i="23"/>
  <c r="C68" i="23"/>
  <c r="B68" i="23"/>
  <c r="A68" i="23"/>
  <c r="J67" i="23"/>
  <c r="G67" i="23"/>
  <c r="D67" i="23"/>
  <c r="C67" i="23"/>
  <c r="B67" i="23"/>
  <c r="A67" i="23"/>
  <c r="J66" i="23"/>
  <c r="G66" i="23"/>
  <c r="D66" i="23"/>
  <c r="C66" i="23"/>
  <c r="B66" i="23"/>
  <c r="A66" i="23"/>
  <c r="J65" i="23"/>
  <c r="G65" i="23"/>
  <c r="D65" i="23"/>
  <c r="C65" i="23"/>
  <c r="B65" i="23"/>
  <c r="A65" i="23"/>
  <c r="J64" i="23"/>
  <c r="G64" i="23"/>
  <c r="D64" i="23"/>
  <c r="C64" i="23"/>
  <c r="B64" i="23"/>
  <c r="A64" i="23"/>
  <c r="J63" i="23"/>
  <c r="G63" i="23"/>
  <c r="D63" i="23"/>
  <c r="C63" i="23"/>
  <c r="B63" i="23"/>
  <c r="A63" i="23"/>
  <c r="J62" i="23"/>
  <c r="G62" i="23"/>
  <c r="D62" i="23"/>
  <c r="C62" i="23"/>
  <c r="B62" i="23"/>
  <c r="A62" i="23"/>
  <c r="J61" i="23"/>
  <c r="G61" i="23"/>
  <c r="D61" i="23"/>
  <c r="C61" i="23"/>
  <c r="B61" i="23"/>
  <c r="A61" i="23"/>
  <c r="J60" i="23"/>
  <c r="G60" i="23"/>
  <c r="D60" i="23"/>
  <c r="C60" i="23"/>
  <c r="B60" i="23"/>
  <c r="A60" i="23"/>
  <c r="J59" i="23"/>
  <c r="G59" i="23"/>
  <c r="D59" i="23"/>
  <c r="C59" i="23"/>
  <c r="B59" i="23"/>
  <c r="A59" i="23"/>
  <c r="J58" i="23"/>
  <c r="G58" i="23"/>
  <c r="D58" i="23"/>
  <c r="C58" i="23"/>
  <c r="B58" i="23"/>
  <c r="A58" i="23"/>
  <c r="J57" i="23"/>
  <c r="G57" i="23"/>
  <c r="D57" i="23"/>
  <c r="C57" i="23"/>
  <c r="B57" i="23"/>
  <c r="A57" i="23"/>
  <c r="J56" i="23"/>
  <c r="G56" i="23"/>
  <c r="D56" i="23"/>
  <c r="C56" i="23"/>
  <c r="B56" i="23"/>
  <c r="A56" i="23"/>
  <c r="J55" i="23"/>
  <c r="G55" i="23"/>
  <c r="D55" i="23"/>
  <c r="C55" i="23"/>
  <c r="B55" i="23"/>
  <c r="A55" i="23"/>
  <c r="J54" i="23"/>
  <c r="G54" i="23"/>
  <c r="D54" i="23"/>
  <c r="C54" i="23"/>
  <c r="B54" i="23"/>
  <c r="A54" i="23"/>
  <c r="J53" i="23"/>
  <c r="G53" i="23"/>
  <c r="D53" i="23"/>
  <c r="C53" i="23"/>
  <c r="B53" i="23"/>
  <c r="A53" i="23"/>
  <c r="J52" i="23"/>
  <c r="G52" i="23"/>
  <c r="D52" i="23"/>
  <c r="C52" i="23"/>
  <c r="B52" i="23"/>
  <c r="A52" i="23"/>
  <c r="J51" i="23"/>
  <c r="G51" i="23"/>
  <c r="D51" i="23"/>
  <c r="C51" i="23"/>
  <c r="B51" i="23"/>
  <c r="A51" i="23"/>
  <c r="J50" i="23"/>
  <c r="G50" i="23"/>
  <c r="D50" i="23"/>
  <c r="C50" i="23"/>
  <c r="B50" i="23"/>
  <c r="A50" i="23"/>
  <c r="J49" i="23"/>
  <c r="G49" i="23"/>
  <c r="D49" i="23"/>
  <c r="C49" i="23"/>
  <c r="B49" i="23"/>
  <c r="A49" i="23"/>
  <c r="J48" i="23"/>
  <c r="G48" i="23"/>
  <c r="D48" i="23"/>
  <c r="C48" i="23"/>
  <c r="B48" i="23"/>
  <c r="A48" i="23"/>
  <c r="J47" i="23"/>
  <c r="G47" i="23"/>
  <c r="D47" i="23"/>
  <c r="C47" i="23"/>
  <c r="B47" i="23"/>
  <c r="A47" i="23"/>
  <c r="J46" i="23"/>
  <c r="G46" i="23"/>
  <c r="D46" i="23"/>
  <c r="C46" i="23"/>
  <c r="B46" i="23"/>
  <c r="A46" i="23"/>
  <c r="J45" i="23"/>
  <c r="G45" i="23"/>
  <c r="D45" i="23"/>
  <c r="C45" i="23"/>
  <c r="B45" i="23"/>
  <c r="A45" i="23"/>
  <c r="J44" i="23"/>
  <c r="G44" i="23"/>
  <c r="D44" i="23"/>
  <c r="C44" i="23"/>
  <c r="B44" i="23"/>
  <c r="A44" i="23"/>
  <c r="J43" i="23"/>
  <c r="G43" i="23"/>
  <c r="D43" i="23"/>
  <c r="C43" i="23"/>
  <c r="B43" i="23"/>
  <c r="A43" i="23"/>
  <c r="J42" i="23"/>
  <c r="G42" i="23"/>
  <c r="D42" i="23"/>
  <c r="C42" i="23"/>
  <c r="B42" i="23"/>
  <c r="A42" i="23"/>
  <c r="J41" i="23"/>
  <c r="G41" i="23"/>
  <c r="D41" i="23"/>
  <c r="C41" i="23"/>
  <c r="B41" i="23"/>
  <c r="A41" i="23"/>
  <c r="J40" i="23"/>
  <c r="G40" i="23"/>
  <c r="D40" i="23"/>
  <c r="C40" i="23"/>
  <c r="B40" i="23"/>
  <c r="A40" i="23"/>
  <c r="J39" i="23"/>
  <c r="G39" i="23"/>
  <c r="D39" i="23"/>
  <c r="C39" i="23"/>
  <c r="B39" i="23"/>
  <c r="A39" i="23"/>
  <c r="J38" i="23"/>
  <c r="G38" i="23"/>
  <c r="D38" i="23"/>
  <c r="C38" i="23"/>
  <c r="B38" i="23"/>
  <c r="A38" i="23"/>
  <c r="J37" i="23"/>
  <c r="G37" i="23"/>
  <c r="D37" i="23"/>
  <c r="C37" i="23"/>
  <c r="B37" i="23"/>
  <c r="A37" i="23"/>
  <c r="J36" i="23"/>
  <c r="G36" i="23"/>
  <c r="D36" i="23"/>
  <c r="C36" i="23"/>
  <c r="B36" i="23"/>
  <c r="A36" i="23"/>
  <c r="J35" i="23"/>
  <c r="G35" i="23"/>
  <c r="D35" i="23"/>
  <c r="C35" i="23"/>
  <c r="B35" i="23"/>
  <c r="A35" i="23"/>
  <c r="J34" i="23"/>
  <c r="G34" i="23"/>
  <c r="D34" i="23"/>
  <c r="C34" i="23"/>
  <c r="B34" i="23"/>
  <c r="A34" i="23"/>
  <c r="J33" i="23"/>
  <c r="G33" i="23"/>
  <c r="D33" i="23"/>
  <c r="C33" i="23"/>
  <c r="B33" i="23"/>
  <c r="A33" i="23"/>
  <c r="J32" i="23"/>
  <c r="G32" i="23"/>
  <c r="F32" i="23"/>
  <c r="D32" i="23"/>
  <c r="C32" i="23"/>
  <c r="B32" i="23"/>
  <c r="A32" i="23"/>
  <c r="J31" i="23"/>
  <c r="G31" i="23"/>
  <c r="F31" i="23"/>
  <c r="D31" i="23"/>
  <c r="C31" i="23"/>
  <c r="B31" i="23"/>
  <c r="A31" i="23"/>
  <c r="J30" i="23"/>
  <c r="G30" i="23"/>
  <c r="D30" i="23"/>
  <c r="C30" i="23"/>
  <c r="B30" i="23"/>
  <c r="A30" i="23"/>
  <c r="J29" i="23"/>
  <c r="G29" i="23"/>
  <c r="D29" i="23"/>
  <c r="C29" i="23"/>
  <c r="B29" i="23"/>
  <c r="A29" i="23"/>
  <c r="J28" i="23"/>
  <c r="G28" i="23"/>
  <c r="D28" i="23"/>
  <c r="C28" i="23"/>
  <c r="B28" i="23"/>
  <c r="A28" i="23"/>
  <c r="J27" i="23"/>
  <c r="G27" i="23"/>
  <c r="D27" i="23"/>
  <c r="C27" i="23"/>
  <c r="B27" i="23"/>
  <c r="A27" i="23"/>
  <c r="J26" i="23"/>
  <c r="G26" i="23"/>
  <c r="D26" i="23"/>
  <c r="C26" i="23"/>
  <c r="B26" i="23"/>
  <c r="A26" i="23"/>
  <c r="J25" i="23"/>
  <c r="G25" i="23"/>
  <c r="D25" i="23"/>
  <c r="C25" i="23"/>
  <c r="B25" i="23"/>
  <c r="A25" i="23"/>
  <c r="J24" i="23"/>
  <c r="G24" i="23"/>
  <c r="D24" i="23"/>
  <c r="C24" i="23"/>
  <c r="B24" i="23"/>
  <c r="A24" i="23"/>
  <c r="J23" i="23"/>
  <c r="G23" i="23"/>
  <c r="D23" i="23"/>
  <c r="C23" i="23"/>
  <c r="B23" i="23"/>
  <c r="A23" i="23"/>
  <c r="J22" i="23"/>
  <c r="G22" i="23"/>
  <c r="D22" i="23"/>
  <c r="C22" i="23"/>
  <c r="B22" i="23"/>
  <c r="A22" i="23"/>
  <c r="J21" i="23"/>
  <c r="G21" i="23"/>
  <c r="D21" i="23"/>
  <c r="C21" i="23"/>
  <c r="B21" i="23"/>
  <c r="A21" i="23"/>
  <c r="J20" i="23"/>
  <c r="G20" i="23"/>
  <c r="D20" i="23"/>
  <c r="C20" i="23"/>
  <c r="B20" i="23"/>
  <c r="A20" i="23"/>
  <c r="J19" i="23"/>
  <c r="G19" i="23"/>
  <c r="D19" i="23"/>
  <c r="C19" i="23"/>
  <c r="B19" i="23"/>
  <c r="A19" i="23"/>
  <c r="A18" i="23"/>
  <c r="G14" i="23"/>
  <c r="G13" i="23"/>
  <c r="G12" i="23"/>
  <c r="G11" i="23"/>
  <c r="G10" i="23"/>
  <c r="G9" i="23"/>
  <c r="G8" i="23"/>
  <c r="D5" i="23"/>
  <c r="H4" i="23"/>
  <c r="E4" i="23"/>
  <c r="B4" i="23"/>
  <c r="O35" i="22"/>
  <c r="F35" i="22"/>
  <c r="O34" i="22"/>
  <c r="F34" i="22"/>
  <c r="O32" i="22"/>
  <c r="F32" i="22"/>
  <c r="O31" i="22"/>
  <c r="F31" i="22"/>
  <c r="O30" i="22"/>
  <c r="F30" i="22"/>
  <c r="O29" i="22"/>
  <c r="F29" i="22"/>
  <c r="O28" i="22"/>
  <c r="F28" i="22"/>
  <c r="O26" i="22"/>
  <c r="F26" i="22"/>
  <c r="O25" i="22"/>
  <c r="F25" i="22"/>
  <c r="O23" i="22"/>
  <c r="F23" i="22"/>
  <c r="O22" i="22"/>
  <c r="F22" i="22"/>
  <c r="O21" i="22"/>
  <c r="F21" i="22"/>
  <c r="O20" i="22"/>
  <c r="F20" i="22"/>
  <c r="O19" i="22"/>
  <c r="F19" i="22"/>
  <c r="G14" i="22"/>
  <c r="G13" i="22"/>
  <c r="G12" i="22"/>
  <c r="G11" i="22"/>
  <c r="G10" i="22"/>
  <c r="G9" i="22"/>
  <c r="G8" i="22"/>
  <c r="C8" i="22"/>
  <c r="H4" i="22"/>
  <c r="E4" i="22"/>
  <c r="B4" i="22"/>
  <c r="O30" i="21"/>
  <c r="F30" i="21"/>
  <c r="O29" i="21"/>
  <c r="F29" i="21"/>
  <c r="O27" i="21"/>
  <c r="F27" i="21"/>
  <c r="O26" i="21"/>
  <c r="F26" i="21"/>
  <c r="O25" i="21"/>
  <c r="F25" i="21"/>
  <c r="O24" i="21"/>
  <c r="F24" i="21"/>
  <c r="O22" i="21"/>
  <c r="F22" i="21"/>
  <c r="O21" i="21"/>
  <c r="F21" i="21"/>
  <c r="O20" i="21"/>
  <c r="F20" i="21"/>
  <c r="O19" i="21"/>
  <c r="F19" i="21"/>
  <c r="G14" i="21"/>
  <c r="G13" i="21"/>
  <c r="G12" i="21"/>
  <c r="G11" i="21"/>
  <c r="G10" i="21"/>
  <c r="G9" i="21"/>
  <c r="G8" i="21"/>
  <c r="C8" i="21"/>
  <c r="B8" i="21"/>
  <c r="H4" i="21"/>
  <c r="E4" i="21"/>
  <c r="B4" i="21"/>
  <c r="O27" i="20"/>
  <c r="F27" i="20"/>
  <c r="O26" i="20"/>
  <c r="F26" i="20"/>
  <c r="O25" i="20"/>
  <c r="F25" i="20"/>
  <c r="O24" i="20"/>
  <c r="F24" i="20"/>
  <c r="O23" i="20"/>
  <c r="F23" i="20"/>
  <c r="O21" i="20"/>
  <c r="F21" i="20"/>
  <c r="O20" i="20"/>
  <c r="F20" i="20"/>
  <c r="O19" i="20"/>
  <c r="F19" i="20"/>
  <c r="G14" i="20"/>
  <c r="G13" i="20"/>
  <c r="G12" i="20"/>
  <c r="G11" i="20"/>
  <c r="G10" i="20"/>
  <c r="G9" i="20"/>
  <c r="G8" i="20"/>
  <c r="C8" i="20"/>
  <c r="B8" i="20"/>
  <c r="H4" i="20"/>
  <c r="E4" i="20"/>
  <c r="B4" i="20"/>
  <c r="O29" i="19"/>
  <c r="F29" i="19"/>
  <c r="O28" i="19"/>
  <c r="F28" i="19"/>
  <c r="O27" i="19"/>
  <c r="F27" i="19"/>
  <c r="O26" i="19"/>
  <c r="F26" i="19"/>
  <c r="O25" i="19"/>
  <c r="F25" i="19"/>
  <c r="O24" i="19"/>
  <c r="F24" i="19"/>
  <c r="O23" i="19"/>
  <c r="F23" i="19"/>
  <c r="O21" i="19"/>
  <c r="F21" i="19"/>
  <c r="O20" i="19"/>
  <c r="F20" i="19"/>
  <c r="O19" i="19"/>
  <c r="F19" i="19"/>
  <c r="G14" i="19"/>
  <c r="G13" i="19"/>
  <c r="G12" i="19"/>
  <c r="G11" i="19"/>
  <c r="G10" i="19"/>
  <c r="G9" i="19"/>
  <c r="G8" i="19"/>
  <c r="C8" i="19"/>
  <c r="B8" i="19"/>
  <c r="H4" i="19"/>
  <c r="E4" i="19"/>
  <c r="B4" i="19"/>
  <c r="O31" i="18"/>
  <c r="F31" i="18"/>
  <c r="O30" i="18"/>
  <c r="F30" i="18"/>
  <c r="O29" i="18"/>
  <c r="F29" i="18"/>
  <c r="O27" i="18"/>
  <c r="F27" i="18"/>
  <c r="O26" i="18"/>
  <c r="F26" i="18"/>
  <c r="O25" i="18"/>
  <c r="F25" i="18"/>
  <c r="O24" i="18"/>
  <c r="F24" i="18"/>
  <c r="O22" i="18"/>
  <c r="F22" i="18"/>
  <c r="O21" i="18"/>
  <c r="F21" i="18"/>
  <c r="O20" i="18"/>
  <c r="F20" i="18"/>
  <c r="O19" i="18"/>
  <c r="F19" i="18"/>
  <c r="G14" i="18"/>
  <c r="G13" i="18"/>
  <c r="G12" i="18"/>
  <c r="G11" i="18"/>
  <c r="G10" i="18"/>
  <c r="G9" i="18"/>
  <c r="G8" i="18"/>
  <c r="C8" i="18"/>
  <c r="B8" i="18"/>
  <c r="H4" i="18"/>
  <c r="E4" i="18"/>
  <c r="B4" i="18"/>
  <c r="O31" i="17"/>
  <c r="F31" i="17"/>
  <c r="O30" i="17"/>
  <c r="F30" i="17"/>
  <c r="O29" i="17"/>
  <c r="F29" i="17"/>
  <c r="O27" i="17"/>
  <c r="F27" i="17"/>
  <c r="O26" i="17"/>
  <c r="F26" i="17"/>
  <c r="O24" i="17"/>
  <c r="F24" i="17"/>
  <c r="O23" i="17"/>
  <c r="F23" i="17"/>
  <c r="O22" i="17"/>
  <c r="F22" i="17"/>
  <c r="O20" i="17"/>
  <c r="F20" i="17"/>
  <c r="O19" i="17"/>
  <c r="F19" i="17"/>
  <c r="G14" i="17"/>
  <c r="G13" i="17"/>
  <c r="G12" i="17"/>
  <c r="G11" i="17"/>
  <c r="G10" i="17"/>
  <c r="G9" i="17"/>
  <c r="G8" i="17"/>
  <c r="C8" i="17"/>
  <c r="B8" i="17"/>
  <c r="H4" i="17"/>
  <c r="E4" i="17"/>
  <c r="B4" i="17"/>
  <c r="O33" i="16"/>
  <c r="F33" i="16"/>
  <c r="O32" i="16"/>
  <c r="F32" i="16"/>
  <c r="O31" i="16"/>
  <c r="F31" i="16"/>
  <c r="O29" i="16"/>
  <c r="F29" i="16"/>
  <c r="O28" i="16"/>
  <c r="F28" i="16"/>
  <c r="O26" i="16"/>
  <c r="F26" i="16"/>
  <c r="O25" i="16"/>
  <c r="F25" i="16"/>
  <c r="O24" i="16"/>
  <c r="F24" i="16"/>
  <c r="O22" i="16"/>
  <c r="F22" i="16"/>
  <c r="O21" i="16"/>
  <c r="F21" i="16"/>
  <c r="O19" i="16"/>
  <c r="F19" i="16"/>
  <c r="G14" i="16"/>
  <c r="G13" i="16"/>
  <c r="G12" i="16"/>
  <c r="G11" i="16"/>
  <c r="G10" i="16"/>
  <c r="G9" i="16"/>
  <c r="G8" i="16"/>
  <c r="C8" i="16"/>
  <c r="B8" i="16"/>
  <c r="H4" i="16"/>
  <c r="E4" i="16"/>
  <c r="B4" i="16"/>
  <c r="O32" i="15"/>
  <c r="F32" i="15"/>
  <c r="O30" i="15"/>
  <c r="F30" i="15"/>
  <c r="O28" i="15"/>
  <c r="F28" i="15"/>
  <c r="O27" i="15"/>
  <c r="F27" i="15"/>
  <c r="O26" i="15"/>
  <c r="F26" i="15"/>
  <c r="O24" i="15"/>
  <c r="F24" i="15"/>
  <c r="O23" i="15"/>
  <c r="F23" i="15"/>
  <c r="O21" i="15"/>
  <c r="F21" i="15"/>
  <c r="O20" i="15"/>
  <c r="F20" i="15"/>
  <c r="O19" i="15"/>
  <c r="F19" i="15"/>
  <c r="G14" i="15"/>
  <c r="G13" i="15"/>
  <c r="G12" i="15"/>
  <c r="G11" i="15"/>
  <c r="G10" i="15"/>
  <c r="G9" i="15"/>
  <c r="G8" i="15"/>
  <c r="C8" i="15"/>
  <c r="B8" i="15"/>
  <c r="H4" i="15"/>
  <c r="E4" i="15"/>
  <c r="B4" i="15"/>
  <c r="O36" i="14"/>
  <c r="F36" i="14"/>
  <c r="O34" i="14"/>
  <c r="F34" i="14"/>
  <c r="O33" i="14"/>
  <c r="F33" i="14"/>
  <c r="O31" i="14"/>
  <c r="F31" i="14"/>
  <c r="O30" i="14"/>
  <c r="F30" i="14"/>
  <c r="O28" i="14"/>
  <c r="F28" i="14"/>
  <c r="O27" i="14"/>
  <c r="F27" i="14"/>
  <c r="O25" i="14"/>
  <c r="F25" i="14"/>
  <c r="O24" i="14"/>
  <c r="F24" i="14"/>
  <c r="O23" i="14"/>
  <c r="F23" i="14"/>
  <c r="O21" i="14"/>
  <c r="F21" i="14"/>
  <c r="O20" i="14"/>
  <c r="F20" i="14"/>
  <c r="O19" i="14"/>
  <c r="F19" i="14"/>
  <c r="G14" i="14"/>
  <c r="G13" i="14"/>
  <c r="G12" i="14"/>
  <c r="G11" i="14"/>
  <c r="G10" i="14"/>
  <c r="G9" i="14"/>
  <c r="G8" i="14"/>
  <c r="C8" i="14"/>
  <c r="B8" i="14"/>
  <c r="H4" i="14"/>
  <c r="E4" i="14"/>
  <c r="B4" i="14"/>
  <c r="O38" i="13"/>
  <c r="F38" i="13"/>
  <c r="O37" i="13"/>
  <c r="F37" i="13"/>
  <c r="O36" i="13"/>
  <c r="F36" i="13"/>
  <c r="O34" i="13"/>
  <c r="F34" i="13"/>
  <c r="O33" i="13"/>
  <c r="F33" i="13"/>
  <c r="O31" i="13"/>
  <c r="F31" i="13"/>
  <c r="O30" i="13"/>
  <c r="F30" i="13"/>
  <c r="O29" i="13"/>
  <c r="F29" i="13"/>
  <c r="O27" i="13"/>
  <c r="F27" i="13"/>
  <c r="O26" i="13"/>
  <c r="F26" i="13"/>
  <c r="O25" i="13"/>
  <c r="F25" i="13"/>
  <c r="O24" i="13"/>
  <c r="F24" i="13"/>
  <c r="O22" i="13"/>
  <c r="F22" i="13"/>
  <c r="O21" i="13"/>
  <c r="F21" i="13"/>
  <c r="O20" i="13"/>
  <c r="F20" i="13"/>
  <c r="O19" i="13"/>
  <c r="F19" i="13"/>
  <c r="G14" i="13"/>
  <c r="G13" i="13"/>
  <c r="G12" i="13"/>
  <c r="G11" i="13"/>
  <c r="G10" i="13"/>
  <c r="G9" i="13"/>
  <c r="G8" i="13"/>
  <c r="C8" i="13"/>
  <c r="B8" i="13"/>
  <c r="H4" i="13"/>
  <c r="E4" i="13"/>
  <c r="B4" i="13"/>
  <c r="O32" i="12"/>
  <c r="F32" i="12"/>
  <c r="O31" i="12"/>
  <c r="F31" i="12"/>
  <c r="O29" i="12"/>
  <c r="F29" i="12"/>
  <c r="O28" i="12"/>
  <c r="F28" i="12"/>
  <c r="O27" i="12"/>
  <c r="F27" i="12"/>
  <c r="O26" i="12"/>
  <c r="F26" i="12"/>
  <c r="O24" i="12"/>
  <c r="F24" i="12"/>
  <c r="O23" i="12"/>
  <c r="F23" i="12"/>
  <c r="O22" i="12"/>
  <c r="F22" i="12"/>
  <c r="O21" i="12"/>
  <c r="F21" i="12"/>
  <c r="O20" i="12"/>
  <c r="F20" i="12"/>
  <c r="O19" i="12"/>
  <c r="F19" i="12"/>
  <c r="G14" i="12"/>
  <c r="G13" i="12"/>
  <c r="G12" i="12"/>
  <c r="G11" i="12"/>
  <c r="G10" i="12"/>
  <c r="G9" i="12"/>
  <c r="G8" i="12"/>
  <c r="C8" i="12"/>
  <c r="B8" i="12"/>
  <c r="H4" i="12"/>
  <c r="E4" i="12"/>
  <c r="B4" i="12"/>
  <c r="O40" i="11"/>
  <c r="F40" i="11"/>
  <c r="O38" i="11"/>
  <c r="F38" i="11"/>
  <c r="O36" i="11"/>
  <c r="F36" i="11"/>
  <c r="O35" i="11"/>
  <c r="F35" i="11"/>
  <c r="O34" i="11"/>
  <c r="F34" i="11"/>
  <c r="O33" i="11"/>
  <c r="F33" i="11"/>
  <c r="O31" i="11"/>
  <c r="F31" i="11"/>
  <c r="O30" i="11"/>
  <c r="F30" i="11"/>
  <c r="O29" i="11"/>
  <c r="F29" i="11"/>
  <c r="O27" i="11"/>
  <c r="F27" i="11"/>
  <c r="O26" i="11"/>
  <c r="F26" i="11"/>
  <c r="O25" i="11"/>
  <c r="F25" i="11"/>
  <c r="O24" i="11"/>
  <c r="F24" i="11"/>
  <c r="O22" i="11"/>
  <c r="F22" i="11"/>
  <c r="O21" i="11"/>
  <c r="F21" i="11"/>
  <c r="O20" i="11"/>
  <c r="F20" i="11"/>
  <c r="O19" i="11"/>
  <c r="F19" i="11"/>
  <c r="G14" i="11"/>
  <c r="G13" i="11"/>
  <c r="G12" i="11"/>
  <c r="G11" i="11"/>
  <c r="G10" i="11"/>
  <c r="G9" i="11"/>
  <c r="G8" i="11"/>
  <c r="C8" i="11"/>
  <c r="B8" i="11"/>
  <c r="H4" i="11"/>
  <c r="E4" i="11"/>
  <c r="B4" i="11"/>
  <c r="O40" i="10"/>
  <c r="F40" i="10"/>
  <c r="O39" i="10"/>
  <c r="F39" i="10"/>
  <c r="O38" i="10"/>
  <c r="F38" i="10"/>
  <c r="O36" i="10"/>
  <c r="F36" i="10"/>
  <c r="O35" i="10"/>
  <c r="F35" i="10"/>
  <c r="O34" i="10"/>
  <c r="F34" i="10"/>
  <c r="O33" i="10"/>
  <c r="F33" i="10"/>
  <c r="O31" i="10"/>
  <c r="F31" i="10"/>
  <c r="O30" i="10"/>
  <c r="F30" i="10"/>
  <c r="O29" i="10"/>
  <c r="F29" i="10"/>
  <c r="O28" i="10"/>
  <c r="F28" i="10"/>
  <c r="O27" i="10"/>
  <c r="F27" i="10"/>
  <c r="O25" i="10"/>
  <c r="F25" i="10"/>
  <c r="O24" i="10"/>
  <c r="F24" i="10"/>
  <c r="O23" i="10"/>
  <c r="F23" i="10"/>
  <c r="O22" i="10"/>
  <c r="F22" i="10"/>
  <c r="O21" i="10"/>
  <c r="F21" i="10"/>
  <c r="O20" i="10"/>
  <c r="F20" i="10"/>
  <c r="O19" i="10"/>
  <c r="F19" i="10"/>
  <c r="G14" i="10"/>
  <c r="G13" i="10"/>
  <c r="G12" i="10"/>
  <c r="G11" i="10"/>
  <c r="G10" i="10"/>
  <c r="G9" i="10"/>
  <c r="G8" i="10"/>
  <c r="C8" i="10"/>
  <c r="B8" i="10"/>
  <c r="H4" i="10"/>
  <c r="E4" i="10"/>
  <c r="B4" i="10"/>
  <c r="O36" i="9"/>
  <c r="F36" i="9"/>
  <c r="O35" i="9"/>
  <c r="F35" i="9"/>
  <c r="O33" i="9"/>
  <c r="F33" i="9"/>
  <c r="O32" i="9"/>
  <c r="F32" i="9"/>
  <c r="O31" i="9"/>
  <c r="F31" i="9"/>
  <c r="O30" i="9"/>
  <c r="F30" i="9"/>
  <c r="O29" i="9"/>
  <c r="F29" i="9"/>
  <c r="O28" i="9"/>
  <c r="F28" i="9"/>
  <c r="O27" i="9"/>
  <c r="F27" i="9"/>
  <c r="O26" i="9"/>
  <c r="F26" i="9"/>
  <c r="O25" i="9"/>
  <c r="F25" i="9"/>
  <c r="O24" i="9"/>
  <c r="F24" i="9"/>
  <c r="O23" i="9"/>
  <c r="F23" i="9"/>
  <c r="O22" i="9"/>
  <c r="F22" i="9"/>
  <c r="O21" i="9"/>
  <c r="F21" i="9"/>
  <c r="O20" i="9"/>
  <c r="F20" i="9"/>
  <c r="O19" i="9"/>
  <c r="F19" i="9"/>
  <c r="G14" i="9"/>
  <c r="G13" i="9"/>
  <c r="G12" i="9"/>
  <c r="G11" i="9"/>
  <c r="G10" i="9"/>
  <c r="G9" i="9"/>
  <c r="G8" i="9"/>
  <c r="C8" i="9"/>
  <c r="B8" i="9"/>
  <c r="H4" i="9"/>
  <c r="E4" i="9"/>
  <c r="B4" i="9"/>
  <c r="O59" i="8"/>
  <c r="F59" i="8"/>
  <c r="O57" i="8"/>
  <c r="F57" i="8"/>
  <c r="O56" i="8"/>
  <c r="F56" i="8"/>
  <c r="O55" i="8"/>
  <c r="F55" i="8"/>
  <c r="O54" i="8"/>
  <c r="F54" i="8"/>
  <c r="O53" i="8"/>
  <c r="F53" i="8"/>
  <c r="O51" i="8"/>
  <c r="F51" i="8"/>
  <c r="O50" i="8"/>
  <c r="F50" i="8"/>
  <c r="O48" i="8"/>
  <c r="F48" i="8"/>
  <c r="O47" i="8"/>
  <c r="F47" i="8"/>
  <c r="O45" i="8"/>
  <c r="F45" i="8"/>
  <c r="O44" i="8"/>
  <c r="F44" i="8"/>
  <c r="O43" i="8"/>
  <c r="F43" i="8"/>
  <c r="O42" i="8"/>
  <c r="F42" i="8"/>
  <c r="O41" i="8"/>
  <c r="F41" i="8"/>
  <c r="O40" i="8"/>
  <c r="F40" i="8"/>
  <c r="O39" i="8"/>
  <c r="F39" i="8"/>
  <c r="O37" i="8"/>
  <c r="F37" i="8"/>
  <c r="O36" i="8"/>
  <c r="F36" i="8"/>
  <c r="O35" i="8"/>
  <c r="F35" i="8"/>
  <c r="O34" i="8"/>
  <c r="F34" i="8"/>
  <c r="O33" i="8"/>
  <c r="F33" i="8"/>
  <c r="O32" i="8"/>
  <c r="F32" i="8"/>
  <c r="O31" i="8"/>
  <c r="F31" i="8"/>
  <c r="O30" i="8"/>
  <c r="F30" i="8"/>
  <c r="O29" i="8"/>
  <c r="F29" i="8"/>
  <c r="O28" i="8"/>
  <c r="F28" i="8"/>
  <c r="O27" i="8"/>
  <c r="F27" i="8"/>
  <c r="O26" i="8"/>
  <c r="F26" i="8"/>
  <c r="O25" i="8"/>
  <c r="F25" i="8"/>
  <c r="O24" i="8"/>
  <c r="F24" i="8"/>
  <c r="O23" i="8"/>
  <c r="F23" i="8"/>
  <c r="O22" i="8"/>
  <c r="F22" i="8"/>
  <c r="O21" i="8"/>
  <c r="F21" i="8"/>
  <c r="O20" i="8"/>
  <c r="F20" i="8"/>
  <c r="O19" i="8"/>
  <c r="F19" i="8"/>
  <c r="G14" i="8"/>
  <c r="G13" i="8"/>
  <c r="G12" i="8"/>
  <c r="G11" i="8"/>
  <c r="G10" i="8"/>
  <c r="G9" i="8"/>
  <c r="G8" i="8"/>
  <c r="B8" i="8"/>
  <c r="H4" i="8"/>
  <c r="E4" i="8"/>
  <c r="B4" i="8"/>
  <c r="O48" i="7"/>
  <c r="F48" i="7"/>
  <c r="O46" i="7"/>
  <c r="F46" i="7"/>
  <c r="O45" i="7"/>
  <c r="F45" i="7"/>
  <c r="O44" i="7"/>
  <c r="F44" i="7"/>
  <c r="O43" i="7"/>
  <c r="F43" i="7"/>
  <c r="O42" i="7"/>
  <c r="F42" i="7"/>
  <c r="O40" i="7"/>
  <c r="F40" i="7"/>
  <c r="O39" i="7"/>
  <c r="F39" i="7"/>
  <c r="O37" i="7"/>
  <c r="F37" i="7"/>
  <c r="O36" i="7"/>
  <c r="F36" i="7"/>
  <c r="O34" i="7"/>
  <c r="F34" i="7"/>
  <c r="O32" i="7"/>
  <c r="F32" i="7"/>
  <c r="O31" i="7"/>
  <c r="F31" i="7"/>
  <c r="O29" i="7"/>
  <c r="F29" i="7"/>
  <c r="O27" i="7"/>
  <c r="F27" i="7"/>
  <c r="O26" i="7"/>
  <c r="F26" i="7"/>
  <c r="O25" i="7"/>
  <c r="F25" i="7"/>
  <c r="O24" i="7"/>
  <c r="F24" i="7"/>
  <c r="O22" i="7"/>
  <c r="F22" i="7"/>
  <c r="O21" i="7"/>
  <c r="F21" i="7"/>
  <c r="O20" i="7"/>
  <c r="F20" i="7"/>
  <c r="O19" i="7"/>
  <c r="F19" i="7"/>
  <c r="G14" i="7"/>
  <c r="G13" i="7"/>
  <c r="G12" i="7"/>
  <c r="G11" i="7"/>
  <c r="G10" i="7"/>
  <c r="G9" i="7"/>
  <c r="G8" i="7"/>
  <c r="C8" i="7"/>
  <c r="B8" i="7"/>
  <c r="H4" i="7"/>
  <c r="E4" i="7"/>
  <c r="B4" i="7"/>
  <c r="O51" i="6"/>
  <c r="F51" i="6"/>
  <c r="O50" i="6"/>
  <c r="F50" i="6"/>
  <c r="O49" i="6"/>
  <c r="F49" i="6"/>
  <c r="O47" i="6"/>
  <c r="F47" i="6"/>
  <c r="O46" i="6"/>
  <c r="F46" i="6"/>
  <c r="O45" i="6"/>
  <c r="F45" i="6"/>
  <c r="O44" i="6"/>
  <c r="F44" i="6"/>
  <c r="O43" i="6"/>
  <c r="F43" i="6"/>
  <c r="O42" i="6"/>
  <c r="F42" i="6"/>
  <c r="O41" i="6"/>
  <c r="F41" i="6"/>
  <c r="O40" i="6"/>
  <c r="F40" i="6"/>
  <c r="O38" i="6"/>
  <c r="F38" i="6"/>
  <c r="O36" i="6"/>
  <c r="F36" i="6"/>
  <c r="O35" i="6"/>
  <c r="F35" i="6"/>
  <c r="O33" i="6"/>
  <c r="F33" i="6"/>
  <c r="O32" i="6"/>
  <c r="F32" i="6"/>
  <c r="O30" i="6"/>
  <c r="F30" i="6"/>
  <c r="O29" i="6"/>
  <c r="F29" i="6"/>
  <c r="O27" i="6"/>
  <c r="F27" i="6"/>
  <c r="O26" i="6"/>
  <c r="F26" i="6"/>
  <c r="O25" i="6"/>
  <c r="F25" i="6"/>
  <c r="O23" i="6"/>
  <c r="F23" i="6"/>
  <c r="O22" i="6"/>
  <c r="F22" i="6"/>
  <c r="O21" i="6"/>
  <c r="F21" i="6"/>
  <c r="O20" i="6"/>
  <c r="F20" i="6"/>
  <c r="O19" i="6"/>
  <c r="F19" i="6"/>
  <c r="G14" i="6"/>
  <c r="G13" i="6"/>
  <c r="G12" i="6"/>
  <c r="G11" i="6"/>
  <c r="G10" i="6"/>
  <c r="G9" i="6"/>
  <c r="G8" i="6"/>
  <c r="C8" i="6"/>
  <c r="B8" i="6"/>
  <c r="H4" i="6"/>
  <c r="E4" i="6"/>
  <c r="B4" i="6"/>
  <c r="O48" i="5"/>
  <c r="F48" i="5"/>
  <c r="O46" i="5"/>
  <c r="F46" i="5"/>
  <c r="O45" i="5"/>
  <c r="F45" i="5"/>
  <c r="O44" i="5"/>
  <c r="F44" i="5"/>
  <c r="O43" i="5"/>
  <c r="F43" i="5"/>
  <c r="O41" i="5"/>
  <c r="F41" i="5"/>
  <c r="O40" i="5"/>
  <c r="F40" i="5"/>
  <c r="O39" i="5"/>
  <c r="F39" i="5"/>
  <c r="O38" i="5"/>
  <c r="F38" i="5"/>
  <c r="O36" i="5"/>
  <c r="F36" i="5"/>
  <c r="O35" i="5"/>
  <c r="F35" i="5"/>
  <c r="O34" i="5"/>
  <c r="F34" i="5"/>
  <c r="O33" i="5"/>
  <c r="F33" i="5"/>
  <c r="O31" i="5"/>
  <c r="F31" i="5"/>
  <c r="O30" i="5"/>
  <c r="F30" i="5"/>
  <c r="O29" i="5"/>
  <c r="F29" i="5"/>
  <c r="O28" i="5"/>
  <c r="F28" i="5"/>
  <c r="O27" i="5"/>
  <c r="F27" i="5"/>
  <c r="O26" i="5"/>
  <c r="F26" i="5"/>
  <c r="O25" i="5"/>
  <c r="F25" i="5"/>
  <c r="O23" i="5"/>
  <c r="F23" i="5"/>
  <c r="O21" i="5"/>
  <c r="F21" i="5"/>
  <c r="O20" i="5"/>
  <c r="F20" i="5"/>
  <c r="O19" i="5"/>
  <c r="F19" i="5"/>
  <c r="G14" i="5"/>
  <c r="G13" i="5"/>
  <c r="G12" i="5"/>
  <c r="G11" i="5"/>
  <c r="G10" i="5"/>
  <c r="G9" i="5"/>
  <c r="G8" i="5"/>
  <c r="C8" i="5"/>
  <c r="B8" i="5"/>
  <c r="H4" i="5"/>
  <c r="E4" i="5"/>
  <c r="B4" i="5"/>
  <c r="F35" i="3"/>
  <c r="C35" i="3"/>
  <c r="F34" i="3"/>
  <c r="C34" i="3"/>
  <c r="B34" i="3"/>
  <c r="F33" i="3"/>
  <c r="C33" i="3"/>
  <c r="B33" i="3"/>
  <c r="F32" i="3"/>
  <c r="C32" i="3"/>
  <c r="B32" i="3"/>
  <c r="F31" i="3"/>
  <c r="C31" i="3"/>
  <c r="B31" i="3"/>
  <c r="F30" i="3"/>
  <c r="C30" i="3"/>
  <c r="B30" i="3"/>
  <c r="F29" i="3"/>
  <c r="C29" i="3"/>
  <c r="B29" i="3"/>
  <c r="F28" i="3"/>
  <c r="C28" i="3"/>
  <c r="B28" i="3"/>
  <c r="F27" i="3"/>
  <c r="C27" i="3"/>
  <c r="B27" i="3"/>
  <c r="F26" i="3"/>
  <c r="C26" i="3"/>
  <c r="B26" i="3"/>
  <c r="F25" i="3"/>
  <c r="C25" i="3"/>
  <c r="B25" i="3"/>
  <c r="F24" i="3"/>
  <c r="C24" i="3"/>
  <c r="B24" i="3"/>
  <c r="F23" i="3"/>
  <c r="C23" i="3"/>
  <c r="B23" i="3"/>
  <c r="F22" i="3"/>
  <c r="C22" i="3"/>
  <c r="B22" i="3"/>
  <c r="F21" i="3"/>
  <c r="B21" i="3"/>
  <c r="F20" i="3"/>
  <c r="C20" i="3"/>
  <c r="B20" i="3"/>
  <c r="F19" i="3"/>
  <c r="C19" i="3"/>
  <c r="B19" i="3"/>
  <c r="F18" i="3"/>
  <c r="G14" i="3"/>
  <c r="F14" i="3"/>
  <c r="E14" i="3"/>
  <c r="D14" i="3"/>
  <c r="C14" i="3"/>
  <c r="B14" i="3"/>
  <c r="A14" i="3"/>
  <c r="G13" i="3"/>
  <c r="F13" i="3"/>
  <c r="E13" i="3"/>
  <c r="D13" i="3"/>
  <c r="B9" i="3"/>
  <c r="B8" i="3"/>
  <c r="B7" i="3"/>
  <c r="B6" i="3"/>
  <c r="B5" i="3"/>
  <c r="A33" i="2"/>
  <c r="O22" i="2"/>
  <c r="M22" i="2"/>
  <c r="K22" i="2"/>
  <c r="I22" i="2"/>
  <c r="G22" i="2"/>
  <c r="E22" i="2"/>
  <c r="C22" i="2"/>
  <c r="A22" i="2"/>
  <c r="Q16" i="2"/>
  <c r="O16" i="2"/>
  <c r="M16" i="2"/>
  <c r="K16" i="2"/>
  <c r="I16" i="2"/>
  <c r="E16" i="2"/>
  <c r="C16" i="2"/>
  <c r="A16" i="2"/>
  <c r="J12" i="2"/>
  <c r="J11" i="2"/>
  <c r="J10" i="2"/>
  <c r="J9" i="2"/>
  <c r="J8" i="2"/>
  <c r="J7" i="2"/>
  <c r="F29" i="23" l="1"/>
  <c r="F22" i="23"/>
  <c r="C18" i="3"/>
  <c r="B18" i="3"/>
  <c r="F24" i="23"/>
  <c r="F115" i="23"/>
  <c r="F82" i="23"/>
  <c r="F30" i="23"/>
  <c r="F26" i="23"/>
  <c r="F25" i="23"/>
  <c r="F23" i="23"/>
  <c r="F21" i="23"/>
  <c r="F28" i="23"/>
  <c r="F27" i="23"/>
  <c r="O35" i="23"/>
  <c r="F194" i="24"/>
  <c r="F193" i="24"/>
  <c r="F192" i="24"/>
  <c r="F191" i="24"/>
  <c r="F190" i="24"/>
  <c r="F189" i="24"/>
  <c r="F188" i="24"/>
  <c r="F187" i="24"/>
  <c r="F186" i="24"/>
  <c r="F185" i="24"/>
  <c r="F184" i="24"/>
  <c r="F183" i="24"/>
  <c r="F182" i="24"/>
  <c r="F181" i="24"/>
  <c r="F180" i="24"/>
  <c r="F179" i="24"/>
  <c r="F178" i="24"/>
  <c r="F177" i="24"/>
  <c r="F176" i="24"/>
  <c r="F175" i="24"/>
  <c r="F174" i="24"/>
  <c r="F173" i="24"/>
  <c r="F172" i="24"/>
  <c r="F171" i="24"/>
  <c r="F170" i="24"/>
  <c r="F169" i="24"/>
  <c r="F168" i="24"/>
  <c r="F167" i="24"/>
  <c r="F166" i="24"/>
  <c r="F165" i="24"/>
  <c r="F164" i="24"/>
  <c r="F163" i="24"/>
  <c r="F162" i="24"/>
  <c r="F161" i="24"/>
  <c r="F160" i="24"/>
  <c r="F159" i="24"/>
  <c r="F158" i="24"/>
  <c r="F157" i="24"/>
  <c r="F156" i="24"/>
  <c r="F155" i="24"/>
  <c r="F154" i="24"/>
  <c r="F153" i="24"/>
  <c r="F152" i="24"/>
  <c r="F151" i="24"/>
  <c r="F150" i="24"/>
  <c r="F149" i="24"/>
  <c r="F148" i="24"/>
  <c r="F147" i="24"/>
  <c r="F146" i="24"/>
  <c r="F145" i="24"/>
  <c r="F144" i="24"/>
  <c r="F143" i="24"/>
  <c r="F142" i="24"/>
  <c r="F141" i="24"/>
  <c r="F140" i="24"/>
  <c r="F139" i="24"/>
  <c r="F133" i="24"/>
  <c r="F128" i="24"/>
  <c r="F124" i="24"/>
  <c r="F120" i="24"/>
  <c r="F119" i="24"/>
  <c r="F116" i="24"/>
  <c r="F105" i="24"/>
  <c r="F103" i="24"/>
  <c r="F99" i="24"/>
  <c r="F98" i="24"/>
  <c r="F97" i="24"/>
  <c r="F64" i="24"/>
  <c r="F58" i="24"/>
  <c r="F53" i="24"/>
  <c r="F52" i="24"/>
  <c r="F48" i="24"/>
  <c r="F47" i="24"/>
  <c r="F46" i="24"/>
  <c r="F43" i="24"/>
  <c r="F42" i="24"/>
  <c r="F38" i="24"/>
  <c r="F35" i="24"/>
  <c r="F34" i="24"/>
  <c r="F31" i="24"/>
  <c r="F30" i="24"/>
  <c r="F26" i="24"/>
  <c r="F12" i="24"/>
  <c r="F7" i="24"/>
  <c r="F6" i="24"/>
  <c r="F3" i="24"/>
  <c r="O118" i="23"/>
  <c r="F118" i="23"/>
  <c r="O112" i="23"/>
  <c r="F111" i="23"/>
  <c r="O109" i="23"/>
  <c r="F107" i="23"/>
  <c r="O106" i="23"/>
  <c r="O101" i="23"/>
  <c r="F98" i="23"/>
  <c r="F97" i="23"/>
  <c r="F96" i="23"/>
  <c r="F94" i="23"/>
  <c r="O93" i="23"/>
  <c r="F93" i="23"/>
  <c r="F91" i="23"/>
  <c r="F90" i="23"/>
  <c r="F89" i="23"/>
  <c r="O86" i="23"/>
  <c r="F86" i="23"/>
  <c r="O83" i="23"/>
  <c r="O82" i="23"/>
  <c r="F81" i="23"/>
  <c r="O78" i="23"/>
  <c r="O71" i="23"/>
  <c r="O70" i="23"/>
  <c r="F70" i="23"/>
  <c r="O66" i="23"/>
  <c r="O63" i="23"/>
  <c r="O62" i="23"/>
  <c r="O60" i="23"/>
  <c r="O57" i="23"/>
  <c r="O55" i="23"/>
  <c r="F55" i="23"/>
  <c r="F54" i="23"/>
  <c r="O53" i="23"/>
  <c r="O51" i="23"/>
  <c r="O50" i="23"/>
  <c r="O47" i="23"/>
  <c r="F47" i="23"/>
  <c r="F46" i="23"/>
  <c r="O43" i="23"/>
  <c r="F43" i="23"/>
  <c r="O40" i="23"/>
  <c r="O39" i="23"/>
  <c r="O38" i="23"/>
  <c r="O37" i="23"/>
  <c r="O20" i="23"/>
  <c r="O19" i="23"/>
  <c r="F19" i="23"/>
  <c r="D8" i="21"/>
  <c r="D8" i="20"/>
  <c r="D8" i="16"/>
  <c r="D8" i="13"/>
  <c r="D8" i="12"/>
  <c r="F82" i="24"/>
  <c r="F81" i="24"/>
  <c r="F80" i="24"/>
  <c r="F79" i="24"/>
  <c r="F78" i="24"/>
  <c r="F77" i="24"/>
  <c r="F76" i="24"/>
  <c r="D8" i="15"/>
  <c r="D8" i="14"/>
  <c r="D8" i="11"/>
  <c r="D8" i="7"/>
  <c r="D8" i="17"/>
  <c r="C8" i="8"/>
  <c r="D8" i="5"/>
  <c r="J297" i="24"/>
  <c r="G297" i="24"/>
  <c r="D297" i="24"/>
  <c r="B297" i="24"/>
  <c r="G296" i="24"/>
  <c r="C296" i="24"/>
  <c r="J295" i="24"/>
  <c r="G295" i="24"/>
  <c r="C295" i="24"/>
  <c r="J294" i="24"/>
  <c r="D294" i="24"/>
  <c r="C294" i="24"/>
  <c r="J293" i="24"/>
  <c r="G293" i="24"/>
  <c r="C293" i="24"/>
  <c r="J292" i="24"/>
  <c r="G292" i="24"/>
  <c r="C292" i="24"/>
  <c r="J291" i="24"/>
  <c r="D291" i="24"/>
  <c r="B291" i="24"/>
  <c r="J290" i="24"/>
  <c r="B290" i="24"/>
  <c r="J289" i="24"/>
  <c r="G289" i="24"/>
  <c r="C289" i="24"/>
  <c r="J288" i="24"/>
  <c r="G288" i="24"/>
  <c r="C288" i="24"/>
  <c r="B288" i="24"/>
  <c r="F285" i="24"/>
  <c r="F284" i="24"/>
  <c r="F282" i="24"/>
  <c r="F279" i="24"/>
  <c r="F277" i="24"/>
  <c r="F272" i="24"/>
  <c r="F269" i="24"/>
  <c r="F267" i="24"/>
  <c r="F265" i="24"/>
  <c r="F264" i="24"/>
  <c r="F263" i="24"/>
  <c r="F262" i="24"/>
  <c r="F261" i="24"/>
  <c r="F259" i="24"/>
  <c r="F256" i="24"/>
  <c r="F254" i="24"/>
  <c r="F252" i="24"/>
  <c r="F251" i="24"/>
  <c r="F250" i="24"/>
  <c r="F241" i="24"/>
  <c r="F236" i="24"/>
  <c r="F235" i="24"/>
  <c r="F234" i="24"/>
  <c r="F230" i="24"/>
  <c r="F228" i="24"/>
  <c r="F224" i="24"/>
  <c r="F223" i="24"/>
  <c r="F219" i="24"/>
  <c r="F217" i="24"/>
  <c r="F216" i="24"/>
  <c r="F215" i="24"/>
  <c r="F214" i="24"/>
  <c r="F211" i="24"/>
  <c r="F210" i="24"/>
  <c r="F209" i="24"/>
  <c r="F208" i="24"/>
  <c r="F207" i="24"/>
  <c r="F206" i="24"/>
  <c r="F203" i="24"/>
  <c r="F199" i="24"/>
  <c r="F197" i="24"/>
  <c r="F196" i="24"/>
  <c r="F195" i="24"/>
  <c r="F135" i="24"/>
  <c r="F134" i="24"/>
  <c r="F132" i="24"/>
  <c r="F130" i="24"/>
  <c r="F129" i="24"/>
  <c r="F127" i="24"/>
  <c r="F126" i="24"/>
  <c r="F125" i="24"/>
  <c r="F122" i="24"/>
  <c r="F108" i="24"/>
  <c r="F104" i="24"/>
  <c r="F102" i="24"/>
  <c r="F96" i="24"/>
  <c r="F94" i="24"/>
  <c r="F93" i="24"/>
  <c r="F91" i="24"/>
  <c r="F90" i="24"/>
  <c r="F89" i="24"/>
  <c r="F88" i="24"/>
  <c r="F86" i="24"/>
  <c r="F70" i="24"/>
  <c r="F67" i="24"/>
  <c r="F66" i="24"/>
  <c r="F65" i="24"/>
  <c r="F63" i="24"/>
  <c r="F61" i="24"/>
  <c r="F55" i="24"/>
  <c r="F54" i="24"/>
  <c r="F51" i="24"/>
  <c r="F50" i="24"/>
  <c r="F49" i="24"/>
  <c r="F44" i="24"/>
  <c r="F36" i="24"/>
  <c r="F33" i="24"/>
  <c r="F32" i="24"/>
  <c r="F25" i="24"/>
  <c r="F24" i="24"/>
  <c r="F23" i="24"/>
  <c r="F22" i="24"/>
  <c r="F21" i="24"/>
  <c r="F16" i="24"/>
  <c r="F15" i="24"/>
  <c r="F11" i="24"/>
  <c r="F10" i="24"/>
  <c r="F8" i="24"/>
  <c r="F2" i="24"/>
  <c r="O117" i="23"/>
  <c r="O114" i="23"/>
  <c r="F113" i="23"/>
  <c r="F110" i="23"/>
  <c r="F109" i="23"/>
  <c r="O107" i="23"/>
  <c r="O105" i="23"/>
  <c r="O104" i="23"/>
  <c r="F104" i="23"/>
  <c r="F103" i="23"/>
  <c r="F102" i="23"/>
  <c r="F101" i="23"/>
  <c r="F100" i="23"/>
  <c r="F99" i="23"/>
  <c r="O98" i="23"/>
  <c r="O96" i="23"/>
  <c r="O94" i="23"/>
  <c r="O92" i="23"/>
  <c r="O90" i="23"/>
  <c r="O88" i="23"/>
  <c r="F88" i="23"/>
  <c r="O87" i="23"/>
  <c r="O85" i="23"/>
  <c r="F85" i="23"/>
  <c r="O84" i="23"/>
  <c r="F77" i="23"/>
  <c r="O76" i="23"/>
  <c r="F76" i="23"/>
  <c r="F75" i="23"/>
  <c r="O74" i="23"/>
  <c r="F74" i="23"/>
  <c r="F73" i="23"/>
  <c r="O72" i="23"/>
  <c r="F71" i="23"/>
  <c r="O69" i="23"/>
  <c r="F69" i="23"/>
  <c r="F68" i="23"/>
  <c r="O65" i="23"/>
  <c r="O64" i="23"/>
  <c r="F64" i="23"/>
  <c r="F63" i="23"/>
  <c r="O61" i="23"/>
  <c r="O59" i="23"/>
  <c r="O58" i="23"/>
  <c r="O56" i="23"/>
  <c r="O54" i="23"/>
  <c r="O52" i="23"/>
  <c r="O49" i="23"/>
  <c r="O46" i="23"/>
  <c r="O44" i="23"/>
  <c r="O41" i="23"/>
  <c r="O36" i="23"/>
  <c r="F35" i="23"/>
  <c r="O34" i="23"/>
  <c r="F34" i="23"/>
  <c r="O33" i="23"/>
  <c r="O21" i="23"/>
  <c r="B8" i="22"/>
  <c r="D8" i="19"/>
  <c r="D8" i="18"/>
  <c r="D8" i="10"/>
  <c r="D8" i="9"/>
  <c r="D8" i="6"/>
  <c r="C297" i="24"/>
  <c r="J296" i="24"/>
  <c r="D296" i="24"/>
  <c r="B296" i="24"/>
  <c r="D295" i="24"/>
  <c r="B295" i="24"/>
  <c r="G294" i="24"/>
  <c r="B294" i="24"/>
  <c r="D293" i="24"/>
  <c r="B293" i="24"/>
  <c r="D292" i="24"/>
  <c r="B292" i="24"/>
  <c r="G291" i="24"/>
  <c r="C291" i="24"/>
  <c r="G290" i="24"/>
  <c r="D290" i="24"/>
  <c r="C290" i="24"/>
  <c r="D289" i="24"/>
  <c r="B289" i="24"/>
  <c r="D288" i="24"/>
  <c r="F287" i="24"/>
  <c r="F286" i="24"/>
  <c r="F283" i="24"/>
  <c r="F281" i="24"/>
  <c r="F280" i="24"/>
  <c r="F278" i="24"/>
  <c r="F276" i="24"/>
  <c r="F275" i="24"/>
  <c r="F274" i="24"/>
  <c r="F273" i="24"/>
  <c r="F271" i="24"/>
  <c r="F270" i="24"/>
  <c r="F268" i="24"/>
  <c r="F266" i="24"/>
  <c r="F260" i="24"/>
  <c r="F258" i="24"/>
  <c r="F257" i="24"/>
  <c r="F255" i="24"/>
  <c r="F253" i="24"/>
  <c r="F249" i="24"/>
  <c r="F248" i="24"/>
  <c r="F247" i="24"/>
  <c r="F246" i="24"/>
  <c r="F245" i="24"/>
  <c r="F244" i="24"/>
  <c r="F243" i="24"/>
  <c r="F242" i="24"/>
  <c r="F240" i="24"/>
  <c r="F239" i="24"/>
  <c r="F238" i="24"/>
  <c r="F237" i="24"/>
  <c r="F233" i="24"/>
  <c r="F232" i="24"/>
  <c r="F231" i="24"/>
  <c r="F229" i="24"/>
  <c r="F227" i="24"/>
  <c r="F226" i="24"/>
  <c r="F225" i="24"/>
  <c r="F222" i="24"/>
  <c r="F221" i="24"/>
  <c r="F220" i="24"/>
  <c r="F218" i="24"/>
  <c r="F213" i="24"/>
  <c r="F212" i="24"/>
  <c r="F205" i="24"/>
  <c r="F204" i="24"/>
  <c r="F202" i="24"/>
  <c r="F201" i="24"/>
  <c r="F200" i="24"/>
  <c r="F198" i="24"/>
  <c r="F138" i="24"/>
  <c r="F137" i="24"/>
  <c r="F136" i="24"/>
  <c r="F131" i="24"/>
  <c r="F123" i="24"/>
  <c r="F121" i="24"/>
  <c r="F118" i="24"/>
  <c r="F117" i="24"/>
  <c r="F115" i="24"/>
  <c r="F114" i="24"/>
  <c r="F113" i="24"/>
  <c r="F112" i="24"/>
  <c r="F111" i="24"/>
  <c r="F110" i="24"/>
  <c r="F109" i="24"/>
  <c r="F107" i="24"/>
  <c r="F106" i="24"/>
  <c r="F101" i="24"/>
  <c r="F100" i="24"/>
  <c r="F95" i="24"/>
  <c r="F92" i="24"/>
  <c r="F87" i="24"/>
  <c r="F85" i="24"/>
  <c r="F84" i="24"/>
  <c r="F83" i="24"/>
  <c r="F75" i="24"/>
  <c r="F74" i="24"/>
  <c r="F73" i="24"/>
  <c r="F72" i="24"/>
  <c r="F71" i="24"/>
  <c r="F69" i="24"/>
  <c r="F68" i="24"/>
  <c r="F62" i="24"/>
  <c r="F60" i="24"/>
  <c r="F59" i="24"/>
  <c r="F57" i="24"/>
  <c r="F56" i="24"/>
  <c r="F45" i="24"/>
  <c r="F41" i="24"/>
  <c r="F40" i="24"/>
  <c r="F39" i="24"/>
  <c r="F37" i="24"/>
  <c r="F29" i="24"/>
  <c r="F28" i="24"/>
  <c r="F27" i="24"/>
  <c r="F20" i="24"/>
  <c r="F19" i="24"/>
  <c r="F18" i="24"/>
  <c r="F17" i="24"/>
  <c r="F14" i="24"/>
  <c r="F13" i="24"/>
  <c r="F9" i="24"/>
  <c r="F5" i="24"/>
  <c r="F4" i="24"/>
  <c r="F117" i="23"/>
  <c r="O116" i="23"/>
  <c r="O115" i="23"/>
  <c r="F114" i="23"/>
  <c r="O113" i="23"/>
  <c r="O111" i="23"/>
  <c r="O110" i="23"/>
  <c r="O108" i="23"/>
  <c r="F108" i="23"/>
  <c r="F106" i="23"/>
  <c r="F105" i="23"/>
  <c r="O103" i="23"/>
  <c r="O102" i="23"/>
  <c r="O100" i="23"/>
  <c r="O99" i="23"/>
  <c r="O97" i="23"/>
  <c r="O95" i="23"/>
  <c r="F95" i="23"/>
  <c r="F92" i="23"/>
  <c r="O91" i="23"/>
  <c r="O89" i="23"/>
  <c r="F87" i="23"/>
  <c r="F84" i="23"/>
  <c r="F83" i="23"/>
  <c r="O81" i="23"/>
  <c r="O80" i="23"/>
  <c r="F80" i="23"/>
  <c r="O79" i="23"/>
  <c r="F79" i="23"/>
  <c r="F78" i="23"/>
  <c r="O77" i="23"/>
  <c r="O75" i="23"/>
  <c r="O73" i="23"/>
  <c r="F72" i="23"/>
  <c r="O68" i="23"/>
  <c r="O67" i="23"/>
  <c r="F67" i="23"/>
  <c r="F66" i="23"/>
  <c r="F65" i="23"/>
  <c r="F62" i="23"/>
  <c r="F61" i="23"/>
  <c r="F60" i="23"/>
  <c r="F59" i="23"/>
  <c r="F58" i="23"/>
  <c r="F57" i="23"/>
  <c r="F56" i="23"/>
  <c r="F53" i="23"/>
  <c r="F52" i="23"/>
  <c r="F51" i="23"/>
  <c r="F50" i="23"/>
  <c r="F49" i="23"/>
  <c r="O48" i="23"/>
  <c r="F48" i="23"/>
  <c r="O45" i="23"/>
  <c r="F45" i="23"/>
  <c r="F44" i="23"/>
  <c r="O42" i="23"/>
  <c r="F42" i="23"/>
  <c r="F41" i="23"/>
  <c r="F40" i="23"/>
  <c r="F39" i="23"/>
  <c r="F38" i="23"/>
  <c r="F37" i="23"/>
  <c r="F36" i="23"/>
  <c r="F33" i="23"/>
  <c r="O32" i="23"/>
  <c r="O31" i="23"/>
  <c r="O30" i="23"/>
  <c r="O29" i="23"/>
  <c r="O28" i="23"/>
  <c r="O27" i="23"/>
  <c r="O26" i="23"/>
  <c r="O25" i="23"/>
  <c r="O24" i="23"/>
  <c r="O23" i="23"/>
  <c r="O22" i="23"/>
  <c r="F20" i="23"/>
  <c r="F289" i="24" s="1"/>
  <c r="F296" i="24" l="1"/>
  <c r="F292" i="24"/>
  <c r="F297" i="24"/>
  <c r="F295" i="24"/>
  <c r="F291" i="24"/>
  <c r="F290" i="24"/>
  <c r="F293" i="24"/>
  <c r="F294" i="24"/>
  <c r="F288" i="24"/>
  <c r="B8" i="23"/>
  <c r="G15" i="21"/>
  <c r="D15" i="21"/>
  <c r="O21" i="2"/>
  <c r="E34" i="3"/>
  <c r="O23" i="2"/>
  <c r="D34" i="3"/>
  <c r="G15" i="20"/>
  <c r="D15" i="20"/>
  <c r="D33" i="3"/>
  <c r="M21" i="2"/>
  <c r="E33" i="3"/>
  <c r="M23" i="2"/>
  <c r="G15" i="16"/>
  <c r="E29" i="3"/>
  <c r="D15" i="16"/>
  <c r="E21" i="2"/>
  <c r="E23" i="2"/>
  <c r="D29" i="3"/>
  <c r="D15" i="13"/>
  <c r="D26" i="3"/>
  <c r="G15" i="13"/>
  <c r="Q15" i="2"/>
  <c r="Q17" i="2"/>
  <c r="E26" i="3"/>
  <c r="D15" i="12"/>
  <c r="G15" i="12"/>
  <c r="E25" i="3"/>
  <c r="O15" i="2"/>
  <c r="O17" i="2"/>
  <c r="D25" i="3"/>
  <c r="C21" i="2"/>
  <c r="E28" i="3"/>
  <c r="G15" i="15"/>
  <c r="D15" i="15"/>
  <c r="C23" i="2"/>
  <c r="D28" i="3"/>
  <c r="D15" i="14"/>
  <c r="A21" i="2"/>
  <c r="A23" i="2"/>
  <c r="E27" i="3"/>
  <c r="D27" i="3"/>
  <c r="G15" i="14"/>
  <c r="D15" i="11"/>
  <c r="M15" i="2"/>
  <c r="M17" i="2"/>
  <c r="E24" i="3"/>
  <c r="D24" i="3"/>
  <c r="G15" i="11"/>
  <c r="E15" i="2"/>
  <c r="E17" i="2"/>
  <c r="D15" i="7"/>
  <c r="G15" i="7"/>
  <c r="D20" i="3"/>
  <c r="E20" i="3"/>
  <c r="G23" i="2"/>
  <c r="G21" i="2"/>
  <c r="D15" i="17"/>
  <c r="G15" i="17"/>
  <c r="D30" i="3"/>
  <c r="E30" i="3"/>
  <c r="D8" i="8"/>
  <c r="G16" i="2"/>
  <c r="C21" i="3"/>
  <c r="D18" i="3"/>
  <c r="E18" i="3"/>
  <c r="D15" i="5"/>
  <c r="A15" i="2"/>
  <c r="A17" i="2"/>
  <c r="G15" i="5"/>
  <c r="Q22" i="2"/>
  <c r="A13" i="3"/>
  <c r="B13" i="3"/>
  <c r="B35" i="3"/>
  <c r="D15" i="19"/>
  <c r="G15" i="19"/>
  <c r="D32" i="3"/>
  <c r="K23" i="2"/>
  <c r="E32" i="3"/>
  <c r="K21" i="2"/>
  <c r="E31" i="3"/>
  <c r="D31" i="3"/>
  <c r="G15" i="18"/>
  <c r="I21" i="2"/>
  <c r="I23" i="2"/>
  <c r="D15" i="18"/>
  <c r="G15" i="10"/>
  <c r="K15" i="2"/>
  <c r="K17" i="2"/>
  <c r="D15" i="10"/>
  <c r="D23" i="3"/>
  <c r="E23" i="3"/>
  <c r="G15" i="9"/>
  <c r="D15" i="9"/>
  <c r="I15" i="2"/>
  <c r="I17" i="2"/>
  <c r="D22" i="3"/>
  <c r="E22" i="3"/>
  <c r="D15" i="6"/>
  <c r="D19" i="3"/>
  <c r="E19" i="3"/>
  <c r="G15" i="6"/>
  <c r="C17" i="2"/>
  <c r="C15" i="2"/>
  <c r="L11" i="2"/>
  <c r="L7" i="2"/>
  <c r="D8" i="22"/>
  <c r="C8" i="23"/>
  <c r="L10" i="2"/>
  <c r="L9" i="2"/>
  <c r="L12" i="2" l="1"/>
  <c r="T6" i="2"/>
  <c r="D15" i="8"/>
  <c r="G15" i="8"/>
  <c r="G15" i="2"/>
  <c r="G17" i="2"/>
  <c r="D21" i="3"/>
  <c r="E21" i="3"/>
  <c r="E35" i="3"/>
  <c r="G15" i="22"/>
  <c r="D15" i="22"/>
  <c r="Q23" i="2"/>
  <c r="D35" i="3"/>
  <c r="Q21" i="2"/>
  <c r="D8" i="23"/>
  <c r="L8" i="2"/>
  <c r="A31" i="2"/>
  <c r="T7" i="2"/>
  <c r="A32" i="2" l="1"/>
  <c r="A30" i="2"/>
  <c r="D15" i="23"/>
  <c r="G15" i="23"/>
  <c r="A8" i="2"/>
  <c r="T8" i="2"/>
  <c r="A10" i="2" l="1"/>
  <c r="A7" i="2"/>
</calcChain>
</file>

<file path=xl/sharedStrings.xml><?xml version="1.0" encoding="utf-8"?>
<sst xmlns="http://schemas.openxmlformats.org/spreadsheetml/2006/main" count="3780" uniqueCount="1974">
  <si>
    <t>WLS AUDIT COACH OSHA — CORRECTIVE ACTION TRACKER</t>
  </si>
  <si>
    <t>Auto-populated from audit findings  |  Prepared under attorney-client privilege  |  Findings sorted: Very High → Low</t>
  </si>
  <si>
    <t>⚑  Columns A–G are auto-populated from audit results and will update as findings are entered.  Enter tracking data in columns H–L. Use Item # (col B) as the key if re-alignment is needed between audits.</t>
  </si>
  <si>
    <t>Section / Tab</t>
  </si>
  <si>
    <t>Item #</t>
  </si>
  <si>
    <t>Finding Rating</t>
  </si>
  <si>
    <t>Requirement</t>
  </si>
  <si>
    <t>Observations</t>
  </si>
  <si>
    <t>Recommendations</t>
  </si>
  <si>
    <t>Citation</t>
  </si>
  <si>
    <t>Auditor Notes</t>
  </si>
  <si>
    <t>Assigned To</t>
  </si>
  <si>
    <t>Due Date</t>
  </si>
  <si>
    <t>Status</t>
  </si>
  <si>
    <t>Verified By</t>
  </si>
  <si>
    <t>Close Date</t>
  </si>
  <si>
    <t>No findings requiring corrective action</t>
  </si>
  <si>
    <t>PRE-AUDIT SCOPING &amp; FACILITY PROFILE</t>
  </si>
  <si>
    <t>Complete this tab before beginning the audit. Answers determine which items apply to this facility.</t>
  </si>
  <si>
    <t>SECTION 1 — FACILITY &amp; AUDIT INFORMATION</t>
  </si>
  <si>
    <t>Facility / Site Name</t>
  </si>
  <si>
    <t xml:space="preserve">Test </t>
  </si>
  <si>
    <t>Facility Address</t>
  </si>
  <si>
    <t>100 Test Way</t>
  </si>
  <si>
    <t>City, State, ZIP</t>
  </si>
  <si>
    <t>Test, Test 12345</t>
  </si>
  <si>
    <t>NAICS Code</t>
  </si>
  <si>
    <t>Approximate Headcount (total employees)</t>
  </si>
  <si>
    <t>Audit Date(s)</t>
  </si>
  <si>
    <t>July 7-9 2026</t>
  </si>
  <si>
    <t>Lead Auditor</t>
  </si>
  <si>
    <t>Sara Wallon</t>
  </si>
  <si>
    <t>Co-Auditor(s)</t>
  </si>
  <si>
    <t>Gabriel Wallon</t>
  </si>
  <si>
    <t>Audit Scope</t>
  </si>
  <si>
    <t>Full OSHA GI Compliance Audit</t>
  </si>
  <si>
    <t>Attorney of Record</t>
  </si>
  <si>
    <t>Conn Maciel Carey LLP</t>
  </si>
  <si>
    <t>Privilege Contact (Attorney)</t>
  </si>
  <si>
    <t>Nick Scala</t>
  </si>
  <si>
    <t>Audit conducted under attorney-client privilege?</t>
  </si>
  <si>
    <t>Yes</t>
  </si>
  <si>
    <t>State / Jurisdiction (State Plan)</t>
  </si>
  <si>
    <t>California (Cal/OSHA)</t>
  </si>
  <si>
    <t>SECTION 2 — PROCESS &amp; EQUIPMENT INVENTORY</t>
  </si>
  <si>
    <t>Question</t>
  </si>
  <si>
    <t>Yes / No</t>
  </si>
  <si>
    <t>Audit Impact</t>
  </si>
  <si>
    <t>Does this facility have permit-required confined spaces (PRCS)?</t>
  </si>
  <si>
    <t>All Confined Space items (CS-1 through CS-24) apply</t>
  </si>
  <si>
    <t>Does this facility have powered industrial trucks (forklifts, pallet jacks)?</t>
  </si>
  <si>
    <t>All Forklifts &amp; Materials items (PIT-1 through PIT-11) apply</t>
  </si>
  <si>
    <t>Does this facility have overhead cranes, gantry cranes, or hoists?</t>
  </si>
  <si>
    <t>All Cranes, Hoists &amp; Rigging items (CR-1 through CR-10) apply</t>
  </si>
  <si>
    <t>Does this facility have welding, cutting, or brazing operations?</t>
  </si>
  <si>
    <t>All Welding &amp; Hot Work items (WC-1 through WC-10) apply</t>
  </si>
  <si>
    <t xml:space="preserve">Do any employees have occupational exposure to blood or OPIM (first aid)? </t>
  </si>
  <si>
    <t>Bloodborne Pathogens items BP-1 through BP-7 apply</t>
  </si>
  <si>
    <t>Does this facility have automatic sprinkler systems?</t>
  </si>
  <si>
    <t>Fire Protection items FP-5 through FP-8 (sprinklers) apply</t>
  </si>
  <si>
    <t>Does this facility have standpipe and hose systems?</t>
  </si>
  <si>
    <t>No</t>
  </si>
  <si>
    <t>Fire Protection item FP-16 (standpipe systems) applies</t>
  </si>
  <si>
    <t>Does this facility use LP gas / propane?</t>
  </si>
  <si>
    <t>Hazardous Materials items HM-9 through HM-11 (LP gas) apply</t>
  </si>
  <si>
    <t>Does this facility have abrasive blasting operations?</t>
  </si>
  <si>
    <t>Occupational Health item OH-1 (abrasive blasting ventilation) applies</t>
  </si>
  <si>
    <t>Does this facility have spray finishing / painting operations?</t>
  </si>
  <si>
    <t>Occupational Health item OH-3 (spray finishing ventilation) applies</t>
  </si>
  <si>
    <t>Does this facility have mechanical power presses?</t>
  </si>
  <si>
    <t>Machine Guarding items MG-11 and MG-12 (power presses) apply</t>
  </si>
  <si>
    <t>Do employees work in areas with noise levels at or above 85 dBA?</t>
  </si>
  <si>
    <t>Occupational Health items OH-4 through OH-10 (hearing conservation) apply</t>
  </si>
  <si>
    <t>Does this facility store or use compressed gas cylinders?</t>
  </si>
  <si>
    <t>Hazardous Materials items HM-1 through HM-4 (compressed gas) apply</t>
  </si>
  <si>
    <t>Does this facility store or use flammable or combustible liquids?</t>
  </si>
  <si>
    <t>Hazardous Materials items HM-5 through HM-8 (flammable liquids) apply</t>
  </si>
  <si>
    <t>Does this facility generate or process combustible dust?</t>
  </si>
  <si>
    <t>Hazard Communication item HC-10 (combustible dust) applies</t>
  </si>
  <si>
    <t>SECTION 3 — ATTORNEY-CLIENT PRIVILEGE CERTIFICATION</t>
  </si>
  <si>
    <t>This audit was conducted at the direction of legal counsel under the protection of attorney-client privilege. All findings, observations, and recommendations contained in this audit instrument are confidential attorney-client communications prepared in anticipation of litigation. This document shall not be disclosed to any party without prior written authorization from legal counsel.</t>
  </si>
  <si>
    <t>Lead Auditor Signature / Date</t>
  </si>
  <si>
    <t>WLS AUDIT COACH OSHA — HSE AUDIT DASHBOARD</t>
  </si>
  <si>
    <t>National Gypsum Company  |  WLS Audit Coach OSHA Pilot  |  Prepared under attorney-client privilege</t>
  </si>
  <si>
    <t>SITE:</t>
  </si>
  <si>
    <t>DATE(S):</t>
  </si>
  <si>
    <t>AUDITOR(S):</t>
  </si>
  <si>
    <t>OVERALL COMBINED SCORE</t>
  </si>
  <si>
    <t>FINDING SUMMARY BY RATING</t>
  </si>
  <si>
    <t>Combined Score</t>
  </si>
  <si>
    <t>Rating</t>
  </si>
  <si>
    <t>Count</t>
  </si>
  <si>
    <t>Total</t>
  </si>
  <si>
    <t>Best Practice</t>
  </si>
  <si>
    <t>Verified</t>
  </si>
  <si>
    <t>Rating Tier</t>
  </si>
  <si>
    <t>Low</t>
  </si>
  <si>
    <t>Moderate</t>
  </si>
  <si>
    <t>High</t>
  </si>
  <si>
    <t>Very High</t>
  </si>
  <si>
    <t>SECTION SCORES</t>
  </si>
  <si>
    <t>Conf. Space</t>
  </si>
  <si>
    <t>PPE</t>
  </si>
  <si>
    <t>Walk/Work</t>
  </si>
  <si>
    <t>Recordkeeping</t>
  </si>
  <si>
    <t>LOTO</t>
  </si>
  <si>
    <t>Egress</t>
  </si>
  <si>
    <t>Fire Prot.</t>
  </si>
  <si>
    <t>Mach. Guard</t>
  </si>
  <si>
    <t>Electrical</t>
  </si>
  <si>
    <t>1910.146</t>
  </si>
  <si>
    <t>1910.132-140</t>
  </si>
  <si>
    <t>1910.22-30</t>
  </si>
  <si>
    <t>1903/1904</t>
  </si>
  <si>
    <t>1910.147</t>
  </si>
  <si>
    <t>1910.36-39</t>
  </si>
  <si>
    <t>1910.157-165</t>
  </si>
  <si>
    <t>1910.212-217</t>
  </si>
  <si>
    <t>1910.303-335</t>
  </si>
  <si>
    <t>Tools</t>
  </si>
  <si>
    <t>HazCom</t>
  </si>
  <si>
    <t>Forklifts</t>
  </si>
  <si>
    <t>Cranes</t>
  </si>
  <si>
    <t>Haz. Mat.</t>
  </si>
  <si>
    <t>Occ. Health</t>
  </si>
  <si>
    <t>Medical</t>
  </si>
  <si>
    <t>Welding</t>
  </si>
  <si>
    <t>BBP/Sanit.</t>
  </si>
  <si>
    <t>1910.241-244</t>
  </si>
  <si>
    <t>1910.1200</t>
  </si>
  <si>
    <t>1910.176,178</t>
  </si>
  <si>
    <t>1910.179-184</t>
  </si>
  <si>
    <t>1910.101,106,110</t>
  </si>
  <si>
    <t>1910.94-95</t>
  </si>
  <si>
    <t>1910.151</t>
  </si>
  <si>
    <t>1910.252-255</t>
  </si>
  <si>
    <t>1910.1030,141</t>
  </si>
  <si>
    <t>SCORING TIERS</t>
  </si>
  <si>
    <t>Excellence Leader  ≥99%</t>
  </si>
  <si>
    <t>Gold  90–98.9%</t>
  </si>
  <si>
    <t>Silver  80–89.9%</t>
  </si>
  <si>
    <t>Bronze  51–79.9%</t>
  </si>
  <si>
    <t>Developing  &lt;51%</t>
  </si>
  <si>
    <t>STATE PLAN SUPPLEMENTAL</t>
  </si>
  <si>
    <t>State Plan</t>
  </si>
  <si>
    <t>State-specific items only</t>
  </si>
  <si>
    <t>WLS AUDIT COACH OSHA — AUDIT FINDINGS REPORT</t>
  </si>
  <si>
    <t>Prepared under attorney-client privilege  |  Confidential — Not for disclosure without legal counsel authorization</t>
  </si>
  <si>
    <t>AUDIT INFORMATION</t>
  </si>
  <si>
    <t>Facility / Site</t>
  </si>
  <si>
    <t>EXECUTIVE SUMMARY</t>
  </si>
  <si>
    <t>OVERALL SCORE</t>
  </si>
  <si>
    <t>TIER RATING</t>
  </si>
  <si>
    <t>SECTIONS AUDITED</t>
  </si>
  <si>
    <t>TOTAL ITEMS</t>
  </si>
  <si>
    <t>ITEMS RATED</t>
  </si>
  <si>
    <t>HIGH / VERY HIGH</t>
  </si>
  <si>
    <t>SIF-POTENTIAL</t>
  </si>
  <si>
    <t>Section</t>
  </si>
  <si>
    <t>Score</t>
  </si>
  <si>
    <t>Max</t>
  </si>
  <si>
    <t>% Score</t>
  </si>
  <si>
    <t>Tier</t>
  </si>
  <si>
    <t>Findings</t>
  </si>
  <si>
    <t>SIF Risk</t>
  </si>
  <si>
    <t>Confined Space</t>
  </si>
  <si>
    <t>Walk/Work Surfaces</t>
  </si>
  <si>
    <t>Egress &amp; Emergency</t>
  </si>
  <si>
    <t>Fire Protection</t>
  </si>
  <si>
    <t>Machine Guarding</t>
  </si>
  <si>
    <t>Electrical Safety</t>
  </si>
  <si>
    <t>Hand &amp; Power Tools</t>
  </si>
  <si>
    <t>Hazard Communication</t>
  </si>
  <si>
    <t>Cranes &amp; Rigging</t>
  </si>
  <si>
    <t>Hazardous Materials</t>
  </si>
  <si>
    <t>Occ. Health &amp; Noise</t>
  </si>
  <si>
    <t>Medical &amp; First Aid</t>
  </si>
  <si>
    <t>Welding &amp; Hot Work</t>
  </si>
  <si>
    <t>BBP &amp; Sanitation</t>
  </si>
  <si>
    <t>DETAILED FINDINGS  —  All items rated Low or above, sorted by severity</t>
  </si>
  <si>
    <t>⚠ Items marked with SIF = Serious Injury or Fatality potential. These should be prioritized for immediate corrective action regardless of overall score.</t>
  </si>
  <si>
    <t>SIF</t>
  </si>
  <si>
    <t>Requirement (Summary)</t>
  </si>
  <si>
    <t>No reportable findings — all items Verified or Not Applicable</t>
  </si>
  <si>
    <t>CONFINED SPACE (PRCS) COMPLIANCE AUDIT</t>
  </si>
  <si>
    <t>Pct</t>
  </si>
  <si>
    <t>29 CFR 1910.146 — Permit-Required Confined Spaces. Prepared under attorney-client privilege.</t>
  </si>
  <si>
    <t>SCORING SUMMARY</t>
  </si>
  <si>
    <t>Category</t>
  </si>
  <si>
    <t>Percentage %</t>
  </si>
  <si>
    <t>TOTAL</t>
  </si>
  <si>
    <t>Not Applicable</t>
  </si>
  <si>
    <t>Rating Tier:</t>
  </si>
  <si>
    <t>Subsection</t>
  </si>
  <si>
    <t>Evidence to Look For</t>
  </si>
  <si>
    <t>Eff. Max</t>
  </si>
  <si>
    <t>GENERAL REQUIREMENTS</t>
  </si>
  <si>
    <t>CS-1</t>
  </si>
  <si>
    <t>General Requirements</t>
  </si>
  <si>
    <t>The employer must evaluate the workplace to determine if any spaces qualify as permit-required confined spaces (PRCS). A permit-required confined space is a space that: (1) is large enough and configured so an employee can bodily enter and perform assigned work; (2) has limited or restricted means for entry or exit; AND (3) is not designed for continuous employee occupancy; AND meets one or more of: contains or has the potential to contain a serious atmospheric hazard; contains a material with potential for engulfment; has an internal configuration that could trap or asphyxiate an entrant; contains any other recognized serious safety or health hazard.</t>
  </si>
  <si>
    <t>Request the written confined space inventory/survey document. Walk 10% of the facility (minimum 3 representative areas — processing areas, utility rooms, below-grade areas, material handling areas) and confirm the inventory captures all spaces meeting the PRCS definition. Look for commonly missed spaces: dust collector hoppers, conveyor pits, below-grade sumps, enclosed ductwork, storage bins, silos, and large tanks. Confirm the inventory is signed, dated, and updated when the facility layout changes.</t>
  </si>
  <si>
    <t>Test</t>
  </si>
  <si>
    <t>Test Method 123</t>
  </si>
  <si>
    <t>29 CFR 1910.146(c)(1),(c)(6)</t>
  </si>
  <si>
    <t>CS-2</t>
  </si>
  <si>
    <t>Each identified permit-required confined space must be identified by posting a warning sign at or near the entry point. Signs must include wording such as: 'DANGER — PERMIT-REQUIRED CONFINED SPACE — AUTHORIZED ENTRANTS ONLY' (or equivalent language that conveys the hazard). If signage is not practical, another equally effective means of informing employees must be used.</t>
  </si>
  <si>
    <t>Walk to 100% of identified PRCS locations and confirm warning signs are posted at or near each entry point. Signs must be visible before an employee could inadvertently enter the space. Document any identified PRCS that lacks a sign or where the sign is obscured, illegible, or outdated.</t>
  </si>
  <si>
    <t>Testing is cool</t>
  </si>
  <si>
    <t>testing is the best</t>
  </si>
  <si>
    <t>29 CFR 1910.146(c)(2)</t>
  </si>
  <si>
    <t>CS-3</t>
  </si>
  <si>
    <t>If the employer decides employees will not enter any confined space, the employer must take effective measures to prevent employee entry — not just post a sign. Effective measures include: welding or bolting covers shut, installing padlocked barriers, or other physical means that prevent unauthorized access.</t>
  </si>
  <si>
    <t>Confirm whether any spaces on the inventory are designated no-entry. If yes, physically inspect 100% of no-entry spaces and confirm physical prevention measures are in place (not just a sign or verbal instruction). Verify employees and contractors know the no-entry designation and understand they may not enter under any circumstances without a program revision.</t>
  </si>
  <si>
    <t>trial and tribulation</t>
  </si>
  <si>
    <t>test</t>
  </si>
  <si>
    <t>29 CFR 1910.146(c)(3)</t>
  </si>
  <si>
    <t>CONTRACTORS</t>
  </si>
  <si>
    <t>CS-4</t>
  </si>
  <si>
    <t>Contractors</t>
  </si>
  <si>
    <t>When contractors perform work at this facility, the host employer must: (1) Inform the contractor that the workplace contains permit-required confined spaces. (2) Inform the contractor of the spaces' locations and the hazards present. (3) Inform the contractor of the employer's experience with the spaces. (4) Inform the contractor of any precautions or procedures implemented for protection. (5) Coordinate entry operations if both employer and contractor will be working in or near a PRCS simultaneously. (6) Debrief the contractor after entry operations to identify any hazards discovered.</t>
  </si>
  <si>
    <t>Request documentation of contractor coordination for 10% of contractor jobs involving PRCS work at this facility in the past year (minimum 1 job). Confirm: the host shared the space inventory and known hazards before work began; there is a record of the pre-entry information exchange (sign-in sheet, pre-job meeting notes, or contractor safety form); and if both host and contractor worked in or near the same space simultaneously, a coordination protocol is documented.</t>
  </si>
  <si>
    <t>29 CFR 1910.146(c)(8),(c)(9)</t>
  </si>
  <si>
    <t>PERMIT-REQUIRED CONFINED SPACE PROGRAM</t>
  </si>
  <si>
    <t>CS-5</t>
  </si>
  <si>
    <t>Permit-Required Confined Space Program</t>
  </si>
  <si>
    <t>An employer whose employees enter permit spaces must develop and implement a written PRCS entry program. The program must be made available for inspection by employees and their authorized representatives.</t>
  </si>
  <si>
    <t>Request the written PRCS program. Confirm: (1) it is site-specific, not a generic template; (2) it references the specific spaces at this facility; (3) it includes a current revision date; (4) it is physically accessible to employees and authorized employee representatives — not solely in a manager's office or a locked file. A printed copy posted near the entry or maintained in the work area meets this requirement.</t>
  </si>
  <si>
    <t>29 CFR 1910.146(c)(4),(d)(1)-(d)(2),(l)</t>
  </si>
  <si>
    <t>CS-6</t>
  </si>
  <si>
    <t>The written PRCS program must include ALL 14 required elements per 29 CFR 1910.146(d)(3)-(d)(14). Missing any element is a citable deficiency. See the Evidence column checklist.</t>
  </si>
  <si>
    <t>CHECKLIST — review the written PRCS program against each element. Mark each: Verified (complete), Partial (exists but incomplete), or Absent (not addressed at all).
□ (1)  Measures to prevent unauthorized entry
□ (2)  Identification and evaluation of hazards before entry
□ (3)  Safe entry procedures: acceptable entry conditions; isolation from energy/material sources; condition verification throughout entry; purging/inerting/flushing/ventilation to control atmospheric hazards; pedestrian/vehicle barriers
□ (4)  Equipment at no cost: testing instruments, ventilation, communications, PPE, lighting, ingress/egress, rescue gear
□ (5)  Atmospheric testing and monitoring before and during entry
□ (6)  At least one dedicated attendant stationed outside for the full duration of every authorized entry
□ (7)  Multi-space attendant protocol if one attendant monitors simultaneous entries
□ (8)  Designated roles with responsibilities: authorized entrants, attendants, entry supervisors, rescuers
□ (9)  Rescue and emergency services — on-site trained team or identified external service
□ (10) Permit system: preparation, issuance, use, and cancellation
□ (11) Multi-employer coordination when &gt;1 employer works in or near the space simultaneously
□ (12) Entry conclusion and permit cancellation procedures
□ (13) Pre-entry hazard re-evaluation when conditions may have changed
□ (14) Annual program review using canceled permits as input
Elements (6), (9), and (14) are most frequently missing — verify these first.</t>
  </si>
  <si>
    <t>29 CFR 1910.146(d)(3),(d)(6)-(d)(14)</t>
  </si>
  <si>
    <t>CS-7</t>
  </si>
  <si>
    <t>The employer must provide and maintain all equipment necessary for safe PRCS entry at no cost to the employee. Required equipment includes: (1) Testing and monitoring equipment for atmospheric hazards (calibrated multi-gas meter for O2, LEL, CO, and H2S at minimum); (2) Ventilating equipment sufficient to obtain acceptable entry conditions; (3) Communications equipment; (4) Personal protective equipment; (5) Lighting equipment to enable employees to see well enough to work safely and exit quickly in an emergency; (6) Barriers and shields; (7) Equipment for safe ingress and egress; (8) Rescue and emergency equipment.</t>
  </si>
  <si>
    <t>Physically inspect the confined space entry equipment station. Verify: (1) Multi-gas meter is present, powered on, and the calibration date on the tag or in the log is current (most meters require bump testing before each use and full calibration per manufacturer schedule — typically every 6 months); (2) Ventilation blower is present and functional; (3) Communications device (radio or phone) is present and working; (4) Rescue retrieval equipment (tripod, winch, or davit) is present and in serviceable condition; (5) Full-body harness and retrieval lifeline are present; (6) Lighting is available. Sample 10% of confined space entry equipment kits at this facility (minimum 1 full kit inspection).</t>
  </si>
  <si>
    <t>29 CFR 1910.146(d)(4)</t>
  </si>
  <si>
    <t>CS-8</t>
  </si>
  <si>
    <t>Atmospheric monitoring must be conducted: (1) Before entry authorization is granted — to test for the presence of atmospheric hazards. (2) As needed during entry — to ensure acceptable entry conditions are maintained for the duration of the entry. Testing must be conducted by or under the direction of a qualified person using properly calibrated instruments. The atmosphere must be tested for: oxygen content (acceptable range: 19.5% to 23.5%); flammable gases and vapors (must be less than 10% of LFL); potential toxic air contaminants (below applicable PEL).</t>
  </si>
  <si>
    <t>Pull 10% of canceled entry permits from the past 12 months (minimum 5 permits). For each permit: confirm pre-entry atmospheric test results are recorded with the actual readings (not just a checkmark), the name of the person who performed the test, and the instrument used. Confirm readings were within acceptable ranges before entry was authorized. Confirm that any permit where continuous monitoring was required shows monitoring notes during the entry. Any permit with blank atmospheric test fields is a deficiency.</t>
  </si>
  <si>
    <t>29 CFR 1910.146(d)(5)</t>
  </si>
  <si>
    <t>CS-9</t>
  </si>
  <si>
    <t>An employer may use an alternate procedure (continuous forced-air ventilation without a full permit) ONLY when ALL of the following conditions are met: (1) The only hazard in the space is an actual or potential hazardous atmosphere; (2) The hazardous atmosphere can be controlled by continuous forced-air ventilation alone; (3) The employer can demonstrate that entry can be made safely; (4) The written program describes the means, procedures, and practices used; (5) The atmosphere is tested before any employee enters to confirm the ventilation has worked; (6) Atmospheric testing continues as necessary.</t>
  </si>
  <si>
    <t>For any spaces designated as alternate-entry (non-permit entry with ventilation), confirm the written program documents specifically that: (1) the space has been evaluated and the ONLY hazard is atmospheric; (2) ventilation controls the hazard; (3) pre-entry and continuous atmospheric monitoring is performed. Walk 10% of alternate-entry spaces (minimum 1) and confirm ventilation equipment is in place and functional. Any space with an engulfment hazard, converging walls, or uncontrolled energy cannot qualify for alternate entry.</t>
  </si>
  <si>
    <t>29 CFR 1910.146(c)(5)</t>
  </si>
  <si>
    <t>CS-10</t>
  </si>
  <si>
    <t>When an alternate entry procedure is used, the employer must: (1) Test the atmosphere within the space before any employee enters to demonstrate the ventilation has worked. (2) Continue atmospheric testing as often as necessary to ensure acceptable conditions exist throughout the entry. (3) If a hazardous atmosphere is detected during entry, have each employee leave the space immediately and investigate, evaluate, and remedy the hazardous atmosphere before re-entering.</t>
  </si>
  <si>
    <t>Review 10% of alternate-entry records (minimum 2). Confirm: pre-entry atmospheric readings are recorded with the actual values; continuous monitoring requirements are documented; and there is a documented procedure (or training record showing employees know) to evacuate immediately if conditions change.</t>
  </si>
  <si>
    <t>29 CFR 1910.146(c)(5)(ii)</t>
  </si>
  <si>
    <t>CS-11</t>
  </si>
  <si>
    <t>A permit-required confined space may be reclassified as a non-permit-required confined space ONLY when: (1) the space contains no actual or potential serious safety or health hazards; AND (2) the employer documents that the hazardous characteristics have been permanently eliminated (not just controlled). The documentation must be certified and made available to employees.</t>
  </si>
  <si>
    <t>If any spaces have been reclassified from PRCS to non-permit status, request the written reclassification documentation for 100% of reclassified spaces. Confirm: the certification specifically states how hazards were eliminated (not merely controlled); it is signed by a qualified person; and it identifies the space by location. Re-entry into a reclassified space that later shows a hazardous atmosphere requires the space to be immediately evacuated and re-evaluated.</t>
  </si>
  <si>
    <t>29 CFR 1910.146(c)(7)</t>
  </si>
  <si>
    <t>ENTRY PERMITS</t>
  </si>
  <si>
    <t>CS-12</t>
  </si>
  <si>
    <t>Entry Permits</t>
  </si>
  <si>
    <t>Before entry is authorized, the employer must prepare and issue an entry permit containing ALL 15 required components per 29 CFR 1910.146(f). A permit missing any required component is deficient. See Evidence column checklist.</t>
  </si>
  <si>
    <t>CHECKLIST — for each permit sampled (10% of canceled permits, minimum 5), verify every component is present and completed (not blank).
□ (1)  The permit space to be entered (identified by location)
□ (2)  Purpose of the entry
□ (3)  Date and authorized duration of the entry permit
□ (4)  Authorized entrants — by name or a means (roster/badge system) to identify all entrants quickly
□ (5)  Current attendant(s) — by name
□ (6)  Entry supervisor — identified with signature or initials BEFORE entry
□ (7)  Hazards of the permit space
□ (8)  Measures to isolate the space and eliminate or control hazards
□ (9)  Acceptable entry conditions (specific ranges: O2 19.5-23.5%, LEL &lt;10%, CO &lt;35 ppm, etc.)
□ (10) Results of initial and periodic atmospheric tests — actual readings, tester name, instrument used
□ (11) Rescue and emergency services — specific contact information (phone number, not just 'call 911')
□ (12) Communication procedures between entrants and attendant
□ (13) Required equipment: PPE, testing equipment, communications, alarm, rescue equipment, lighting
□ (14) Any other information necessary to ensure employee safety
□ (15) Any additional permits (e.g., hot work permit) for work in the space
Document the % of sampled permits with all 15 components complete.</t>
  </si>
  <si>
    <t>29 CFR 1910.146(f)</t>
  </si>
  <si>
    <t>CS-13</t>
  </si>
  <si>
    <t>The permit must be properly used before and during entry: (1) Signed by the entry supervisor who verifies that all required entries on the permit have been made; (2) Made available to authorized entrants through posting at the permit space entrance or another equally effective means; (3) Actively used by the attendant to track authorized entrants; (4) Retained after operations are completed and the permit is canceled.</t>
  </si>
  <si>
    <t>For 10% of the most recent entries (minimum 3), confirm: the permit bears the entry supervisor's initials or signature from before entry began; permits were posted at the entry point (ask whether this is standard practice or review a photo/checklist confirming it); the attendant's duty to maintain a count of entrants is reflected on or with the permit. Ask the entry supervisor to walk through how they authorize an entry — not after-the-fact signature.</t>
  </si>
  <si>
    <t>29 CFR 1910.146(e)(1)-(e)(4)</t>
  </si>
  <si>
    <t>CS-14</t>
  </si>
  <si>
    <t>Entry must be terminated and the permit canceled under two conditions: (1) When the work covered by the permit has been completed; OR (2) When a prohibited condition arises — any condition not allowed by the permit, including an atmospheric reading outside acceptable parameters, an equipment failure, or an unexpected hazard. All authorized entrants must immediately evacuate when entry is terminated due to a prohibited condition.</t>
  </si>
  <si>
    <t>Confirm 100% of retained permits are marked as canceled/completed. Ask the entry supervisor: 'If you discovered during entry that the O2 level dropped to 18% — what would you do?' The correct answer is immediate evacuation, termination of the permit, and re-evaluation before re-entry. Confirm this is reflected in the written program.</t>
  </si>
  <si>
    <t>29 CFR 1910.146(e)(5)</t>
  </si>
  <si>
    <t>CS-15</t>
  </si>
  <si>
    <t>Canceled entry permits must be retained for at least 1 year following each entry. Within 1 year of each entry, the employer must review the canceled permits for that entry and use them to revise the permit program as needed to ensure that employees are protected from permit space hazards.</t>
  </si>
  <si>
    <t>Confirm canceled permits are filed and accessible for the past 12 months (100% of the prior year's permits should be on file). Ask when the most recent annual program review was completed and request the documentation. Confirm the review references specific findings from prior permits.</t>
  </si>
  <si>
    <t>29 CFR 1910.146(e)(6)</t>
  </si>
  <si>
    <t>TRAINING AND ROLE DUTIES</t>
  </si>
  <si>
    <t>CS-16</t>
  </si>
  <si>
    <t>Training and Role Duties</t>
  </si>
  <si>
    <t>Training must be provided to each employee whose work is regulated by the PRCS standard. Training must be provided: (1) Before the employee is first assigned duties under the standard; (2) Before there is a change in assigned duties; (3) Whenever there is a change in permit space operations that presents a hazard that employees have not been trained for; (4) Whenever the employer has reason to believe employees do not have the required understanding, knowledge, or skills. Training must establish employee proficiency in duties assigned and must be specific to the role (authorized entrant, attendant, entry supervisor, rescue).</t>
  </si>
  <si>
    <t>Request training records for 100% of currently designated authorized entrants, attendants, and entry supervisors. Confirm: initial training was completed before first assignment; training is role-specific (separate content for entrants vs. attendants vs. supervisors); and the training record documents the specific spaces and hazards covered. Note whether training is refreshed when new spaces are added or hazard profiles change.</t>
  </si>
  <si>
    <t>29 CFR 1910.146(g)</t>
  </si>
  <si>
    <t>CS-17</t>
  </si>
  <si>
    <t>Authorized entrants must be able to: (1) Know the hazards that may be faced during entry, including information on the mode, signs or symptoms, and consequences of the exposure; (2) Properly use equipment; (3) Communicate with the attendant as necessary; (4) Alert the attendant whenever the entrant recognizes any warning sign or symptom of exposure or a prohibited condition; (5) Exit from the permit space as quickly as possible whenever ordered by the attendant or entry supervisor, an evacuation alarm is activated, or they recognize a warning sign, symptom, or prohibited condition.</t>
  </si>
  <si>
    <t>Interview 10% of authorized entrants (minimum 3). Ask each entrant: 'What hazards are you exposed to in the confined spaces you enter at this facility?' 'What atmospheric conditions would cause you to leave immediately?' 'What are three ways you communicate with the attendant?' 'If the attendant said leave — what do you do?' Grade responses against the five required knowledge areas above.</t>
  </si>
  <si>
    <t>29 CFR 1910.146(h)</t>
  </si>
  <si>
    <t>CS-18</t>
  </si>
  <si>
    <t>Attendants must be able to: (1) Know the hazards that may be faced during entry; (2) Know the behavioral effects of hazard exposure; (3) Continuously maintain an accurate count of authorized entrants in the permit space; (4) Remain outside the permit space during entry operations and NOT enter the space under any circumstances unless a relieving attendant has taken over; (5) Communicate with entrants as necessary; (6) Monitor activities inside and outside the space to determine whether it is safe for entrants to remain; (7) Order evacuation when a prohibited condition occurs, an entrant shows behavioral effects, an emergency arises, or the attendant cannot perform duties; (8) Summon rescue services without entering the space; (9) Prevent unauthorized entry; (10) Perform non-entry rescues per the rescue procedure.</t>
  </si>
  <si>
    <t>Interview 10% of designated attendants (minimum 3). Ask: 'Can you ever enter the space yourself?' (Answer: NO, unless formally relieved by another attendant) 'What do you do if you lose communication with an entrant?' 'How do you summon rescue?' 'Can you leave your post to help someone?' (Answer: NO — they must call for relief). Pay particular attention to whether attendants understand the prohibition on entry and the distinction between their role and an authorized entrant's role.</t>
  </si>
  <si>
    <t>29 CFR 1910.146(i)</t>
  </si>
  <si>
    <t>CS-19</t>
  </si>
  <si>
    <t>Entry supervisors must be able to: (1) Know the hazards that may be faced; (2) Verify by checking all entries on the permit that all tests, procedures, and equipment are in place before endorsing and authorizing entry; (3) Terminate entry and cancel the permit when required; (4) Verify that rescue services are available; (5) Remove unauthorized individuals; (6) Determine whenever responsibility for a permit space entry operation is transferred to a new supervisor, and when conditions change, whether it is still safe to enter.</t>
  </si>
  <si>
    <t>Interview 10% of entry supervisors (minimum 2). Ask: 'Walk me through what you check before you authorize an entry.' Confirm they verify atmospheric readings, equipment availability, team assignments, and rescue contacts — not just sign the permit. Ask: 'If an entrant called you from inside the space and said they smelled something unusual — what is your immediate action?' (Expected: order immediate evacuation, terminate the permit, investigate).</t>
  </si>
  <si>
    <t>29 CFR 1910.146(j)</t>
  </si>
  <si>
    <t>RESCUE OPERATIONS AND EQUIPMENT</t>
  </si>
  <si>
    <t>CS-20</t>
  </si>
  <si>
    <t>Rescue Operations and Equipment</t>
  </si>
  <si>
    <t>The employer must select a rescue service capable of responding to a rescue summons in a timely manner, considering the hazards identified and the type of permit space operations at this facility. If an off-site emergency responder (fire department) is used, the employer must: (1) Inform the responder of the hazards; (2) Provide the responder with access to the facility for pre-entry rescue planning; (3) Evaluate the service's ability to respond effectively.</t>
  </si>
  <si>
    <t>Ask whether rescue services are internal (on-site trained team) or external (fire department or contract rescue). For external rescue: request documentation that the service was informed of the specific hazards present (copies of SDSs, hazard descriptions, space configurations shared with the responder); confirm the service has visited the facility for pre-planning (emergency plan pre-entry briefing, drill, or site walk); and confirm the estimated response time is acceptable for the hazard level in each PRCS.</t>
  </si>
  <si>
    <t>29 CFR 1910.146(k)(1)</t>
  </si>
  <si>
    <t>CS-21</t>
  </si>
  <si>
    <t>If the employer uses on-site employees for rescue, those rescue employees must: (1) Be provided with and trained in the use of PPE and rescue equipment required for the space, at no cost to the employee; (2) Be trained to perform assigned rescue duties, including first aid and CPR; (3) Practice making permit space rescues at least once every 12 months, using a representative permit space (actual space or mockup with similar hazards and entry/exit conditions).</t>
  </si>
  <si>
    <t>If an internal rescue team is used: request the training records for 100% of designated rescue team members. Confirm: PPE and rescue equipment training is documented; current CPR and first aid certification is on file for each member; and an annual rescue practice drill using an actual or representative space was conducted within the past 12 months — with documentation of the drill (date, participants, space used, lessons learned).</t>
  </si>
  <si>
    <t>29 CFR 1910.146(k)(2)</t>
  </si>
  <si>
    <t>CS-22</t>
  </si>
  <si>
    <t>Retrieval equipment must be used whenever an authorized entrant enters a permit space, unless the retrieval equipment would increase the overall risk of entry or would not contribute to the rescue. Retrieval systems must include: (1) Each authorized entrant uses a chest or full body harness with a retrieval line attached to the center ring or wrist straps; (2) The other end of the retrieval line is attached to a mechanical device or fixed point outside the space; (3) A mechanical device capable of retrieving the entrant from vertical entry spaces more than 5 feet deep.</t>
  </si>
  <si>
    <t>Physically inspect the retrieval system used for permit space entries at this facility. Confirm: full-body harnesses are present and sized for the workforce; retrieval lines are connected to a mechanical retrieval device (tripod and winch) positioned outside the space; the attendant can operate the system from their station without entering the space; the device is rated for the load. If retrieval equipment is not used for certain spaces, confirm written documentation justifying the exception (e.g., the configuration of the space makes retrieval equipment more hazardous than beneficial).</t>
  </si>
  <si>
    <t>29 CFR 1910.146(k)(3)</t>
  </si>
  <si>
    <t>CS-23</t>
  </si>
  <si>
    <t>Pertinent safety data sheets (SDSs) or other written information regarding the hazards of chemicals in the permit space must be made available to the medical facility treating exposed entrants at the time of emergency response.</t>
  </si>
  <si>
    <t>Confirm that a packet of SDSs or a chemical hazard summary is kept with or near the entry equipment kit so it can be sent with any injured entrant to the hospital. Ask the entry supervisor: 'If an entrant needed to be transported to the ER after a chemical exposure in one of your permit spaces — how would the hospital know what they were exposed to?' The process should not require someone to search for SDSs after an emergency has begun.</t>
  </si>
  <si>
    <t>29 CFR 1910.146(k)(4)</t>
  </si>
  <si>
    <t>PROGRAM REVIEW</t>
  </si>
  <si>
    <t>CS-24</t>
  </si>
  <si>
    <t>Program Review</t>
  </si>
  <si>
    <t>The PRCS program must be reviewed within 1 year after each entry and whenever the employer has reason to believe the measures in the program may not protect employees adequately. The review must use canceled entry permits as input. If deficiencies are identified, the program must be revised before employees next enter the permit space.</t>
  </si>
  <si>
    <t>Request the most recent annual PRCS program review document. Confirm: it was completed within 12 months of the most recent entries; it references specific findings from the canceled permits reviewed (e.g., atmospheric readings that were close to limits, equipment issues, permit completion rate); and any identified deficiencies resulted in documented program revisions. If no annual review documentation exists, this is a significant finding.</t>
  </si>
  <si>
    <t>29 CFR 1910.146(d)(13)-(d)(14)</t>
  </si>
  <si>
    <t>PERSONAL PROTECTIVE EQUIPMENT (PPE) COMPLIANCE AUDIT</t>
  </si>
  <si>
    <t>29 CFR 1910.132–140 — Personal Protective Equipment. Prepared under attorney-client privilege.</t>
  </si>
  <si>
    <t>GENERAL PPE REQUIREMENTS</t>
  </si>
  <si>
    <t>PP-1</t>
  </si>
  <si>
    <t>General PPE Requirements</t>
  </si>
  <si>
    <t>The employer must assess the workplace to determine if hazards are present that necessitate PPE. Where required, PPE must be provided, maintained in a safe and reliable condition, and used by employees. PPE must not be defective or damaged.</t>
  </si>
  <si>
    <t>Walk all work areas (minimum 5 representative areas including production floor, maintenance, and shipping). Observe employees performing tasks requiring PPE. For each area, confirm: appropriate PPE is in use and matches the hazard level; PPE is in serviceable condition — no cracked safety glasses, torn gloves, or hard hats with cracks or deep gouges; and a replacement process exists for damaged PPE.</t>
  </si>
  <si>
    <t>Select rating</t>
  </si>
  <si>
    <t>29 CFR 1910.132(a),(c),(e)</t>
  </si>
  <si>
    <t>PP-2</t>
  </si>
  <si>
    <t>The employer must pay for required PPE — with the following exceptions where employees may be required to provide their own: (1) non-specialty safety-toe footwear (if worn off the job), (2) non-specialty prescription safety eyewear (if worn off the job), (3) logging boots, (4) ordinary clothing, skin creams, or other items used solely for protection from weather.</t>
  </si>
  <si>
    <t>Confirm the employer provides all required PPE at no cost. Interview 10% of employees in PPE-required areas (minimum 5). Ask whether they have ever been asked to purchase their own safety glasses, hard hats, gloves, or other required PPE.</t>
  </si>
  <si>
    <t>29 CFR 1910.132(h)</t>
  </si>
  <si>
    <t>PP-3</t>
  </si>
  <si>
    <t>Where employees provide their own PPE, the employer must ensure the equipment is adequate to protect the employee. The employer must be responsible for the adequacy of such equipment, including maintenance and sanitation.</t>
  </si>
  <si>
    <t>If any employees use personal PPE (e.g., prescription safety glasses or personal steel-toed boots), confirm the employer has a documented approval process to verify the equipment meets the required protection standard. Confirm the employer's responsibility for adequacy is addressed in the written PPE program.</t>
  </si>
  <si>
    <t>29 CFR 1910.132(b)</t>
  </si>
  <si>
    <t>PP-4</t>
  </si>
  <si>
    <t>The employer must assess the workplace to determine PPE needs and certify that the assessment was performed. The written hazard assessment certification must identify: (1) the workplace evaluated; (2) the name of the person certifying the evaluation was performed; (3) the date of the hazard assessment; and (4) a statement that the document identifies it as a certification of hazard assessment.</t>
  </si>
  <si>
    <t>Request the written PPE hazard assessment/certification. Confirm all four required elements are present. Review the assessment content: confirm it covers all significant tasks performed at this facility (not just production — include maintenance, housekeeping, shipping/receiving, and lab if applicable) and that PPE selections are matched to specific hazards identified for each task or area. Confirm the assessment was reviewed following any significant process change in the past 12 months.</t>
  </si>
  <si>
    <t>29 CFR 1910.132(d)</t>
  </si>
  <si>
    <t>PP-5</t>
  </si>
  <si>
    <t>The employer must provide training to each employee required to use PPE. Training must cover: (1) when PPE is necessary; (2) what PPE is necessary; (3) how to properly don (put on), doff (remove), adjust, and wear PPE; (4) limitations of PPE; (5) proper care, maintenance, useful life, and disposal of PPE. Employees who demonstrate inadequate understanding must be retrained.</t>
  </si>
  <si>
    <t>Request PPE training records for 10% of employees in PPE-required roles (minimum 10 employees). Confirm training covers all five content areas above. Interview 10% of employees using PPE (minimum 3). Ask: 'How do you inspect your safety glasses before putting them on?' 'When would you replace your hard hat?' 'What does your PPE not protect you from?' Grade answers against the required training content.</t>
  </si>
  <si>
    <t>29 CFR 1910.132(f)</t>
  </si>
  <si>
    <t>EYE AND FACE PROTECTION</t>
  </si>
  <si>
    <t>PP-6</t>
  </si>
  <si>
    <t>Eye and Face Protection</t>
  </si>
  <si>
    <t>Each affected employee must use appropriate eye or face protection when exposed to eye or face hazards. Hazard types requiring protection include: (1) flying particles — safety glasses with side shields or goggles; (2) molten metal — goggles or face shield; (3) liquid chemicals — chemical splash goggles; (4) acid/caustic liquids — splash goggles with face shield; (5) chemical gases/vapors — chemical splash goggles; (6) injurious light radiation — filter lenses with appropriate shade number; (7) lasers — laser safety eyewear. Employees who wear prescription lenses must wear either prescription safety eyewear or safety eyewear designed to fit over their corrective lenses.</t>
  </si>
  <si>
    <t>Walk work areas where eye hazards exist (minimum 5 areas). Confirm: the correct protection type is matched to the specific hazard; side shields are present on safety glasses used where flying particle hazards exist; chemical splash goggles are used for chemical handling (not just safety glasses, which do not seal against liquid splash); face shields are used in conjunction with goggles (not as a replacement) for splash hazards. Note whether prescription-lens employees have appropriate safety eyewear.</t>
  </si>
  <si>
    <t>29 CFR 1910.133(a)</t>
  </si>
  <si>
    <t>PP-7</t>
  </si>
  <si>
    <t>Protective eye and face devices must meet the requirements of ANSI/ISEA Z87.1 — American National Standard Practice for Occupational and Educational Eye and Face Protection. All eye and face protection devices must be marked by the manufacturer with the appropriate ANSI designation.</t>
  </si>
  <si>
    <t>Review issued safety glasses, goggles, and face shields in use. Confirm each device is marked 'Z87' or 'Z87+' (the '+' designation indicates high-impact protection). Reject any unmarked or consumer-grade eyewear used in industrial tasks.</t>
  </si>
  <si>
    <t>29 CFR 1910.133(b)</t>
  </si>
  <si>
    <t>PP-8</t>
  </si>
  <si>
    <t>Filter lenses and plates must meet ANSI requirements. For protection against radiant energy (welding, brazing, cutting), lenses must have a shade number appropriate for the specific process. Shade number guidance: Shielded metal arc welding (SMAW) at 10-500 amps = Shade 10-14; MIG/MAG welding = Shade 10-13; gas welding/brazing = Shade 4-8; oxygen cutting = Shade 3-6; plasma arc welding = Shade 6-14.</t>
  </si>
  <si>
    <t>If welding, cutting, or brazing occurs at this facility: identify the specific processes and confirm the shade number of filter lenses in use for each process. Use the shade number guide above. If shades are inadequate (too low), document as a deficiency. Confirm auto-darkening helmets used in welding applications are ANSI Z87.1 rated.</t>
  </si>
  <si>
    <t>29 CFR 1910.133(a)(5)</t>
  </si>
  <si>
    <t>HEAD PROTECTION</t>
  </si>
  <si>
    <t>PP-9</t>
  </si>
  <si>
    <t>Head Protection</t>
  </si>
  <si>
    <t>Each affected employee must wear a protective helmet when working in areas posing a risk of head injury from: (1) falling or flying objects; (2) bumping the head against fixed objects (low clearance, protruding equipment); (3) electrical shock/burns. Hard hats must be worn with the bill facing forward unless the manufacturer specifically certifies the helmet for reverse use while maintaining the required protection class.</t>
  </si>
  <si>
    <t>Walk 10% of work areas identified in the PPE hazard assessment as requiring head protection (minimum 5 areas). Confirm: hard hats are worn by all employees, visitors, and contractors in required areas; no hard hats are worn backwards unless the manufacturer's certification for reverse use is confirmed; and hard hats are not suspended from equipment or stored in direct sunlight for extended periods (UV degrades the shell).</t>
  </si>
  <si>
    <t>29 CFR 1910.135(a)(1)-(a)(2)</t>
  </si>
  <si>
    <t>PP-10</t>
  </si>
  <si>
    <t>Head protection must meet ANSI/ISEA Z89.1 criteria. Hard hats are classified by type and class: Type I protects the top of the head; Type II protects the top and sides. Classes: Class E (electrical, rated to 20,000 volts); Class G (general, rated to 2,200 volts); Class C (conductive, no electrical protection). Facilities with electrical hazards must use Class E helmets in electrical work areas.</t>
  </si>
  <si>
    <t>Inspect 10% of hard hats in use (minimum 10 hard hats). Check the inside of each shell for: ANSI Z89.1 marking; the protection class (E, G, or C); the manufacture date (most manufacturers recommend retirement at 2-5 years from manufacture date and 2-5 years from first use, whichever comes first). Confirm the class used in electrical work areas is Class E, not Class G or C.</t>
  </si>
  <si>
    <t>29 CFR 1910.135(b)</t>
  </si>
  <si>
    <t>FOOT PROTECTION</t>
  </si>
  <si>
    <t>PP-11</t>
  </si>
  <si>
    <t>Foot Protection</t>
  </si>
  <si>
    <t>Protective footwear must be worn by employees working in areas where there is a danger of: (1) foot injuries from falling or rolling objects; (2) foot injuries from objects piercing the sole; (3) foot injuries from electrical hazards. Safety footwear selection must match the hazard type (impact, compression, metatarsal, electrical hazard, puncture resistance).</t>
  </si>
  <si>
    <t>Walk 10% of work areas requiring safety footwear (minimum 5 areas). Confirm all employees, visitors, and contractors in those areas are wearing safety-toe footwear. Ask 10% of employees (minimum 5): 'How do you know your boots provide the right protection for the hazards here?' Confirm the PPE hazard assessment specifies the protection requirements by area.</t>
  </si>
  <si>
    <t>29 CFR 1910.136(a)</t>
  </si>
  <si>
    <t>PP-12</t>
  </si>
  <si>
    <t>Protective footwear must meet ASTM F2412 (test methods) and ASTM F2413 (performance requirements), or the previous ANSI Z41 standard for footwear procured before the ASTM standard's adoption. Required markings on the label: ASTM designation; protection class (I/75 for impact, C/75 for compression, EH for electrical hazard, PR for puncture resistant, MT/75 for metatarsal).</t>
  </si>
  <si>
    <t>Inspect footwear of 10% of employees in required areas (minimum 5 employees). Ask employees to check the label inside their boot for the ASTM F2413 designation and confirm the protection class matches the hazard requirements in the PPE hazard assessment. Consumer-grade work boots without ASTM markings do not meet the standard.</t>
  </si>
  <si>
    <t>29 CFR 1910.136(b)</t>
  </si>
  <si>
    <t>ELECTRICAL PROTECTIVE EQUIPMENT</t>
  </si>
  <si>
    <t>PP-13</t>
  </si>
  <si>
    <t>Electrical Protective Equipment</t>
  </si>
  <si>
    <t>Insulating blankets, matting, covers, line hoses, gloves, and sleeves made of rubber must meet ASTM design requirements. Each piece must be marked with the voltage class for which it provides protection. Classes: 00 (max use voltage 500V AC), 0 (1000V), 1 (7,500V), 2 (17,000V), 3 (26,500V), 4 (36,000V). Other types of electrical protective equipment must also meet applicable ASTM standards.</t>
  </si>
  <si>
    <t>If electrically rated rubber PPE is in use at this facility: inspect 10% of rubber insulating gloves, blankets, and sleeves (minimum 3 pieces). Confirm: voltage class markings are present and match the voltage of equipment worked on; no visible damage (cracks, cuts, punctures, swelling) is present; and gloves are stored rolled (not folded) in their protective bags.</t>
  </si>
  <si>
    <t>29 CFR 1910.137(a)(1),(b)</t>
  </si>
  <si>
    <t>PP-14</t>
  </si>
  <si>
    <t>Electrical protective equipment must be maintained in a safe, reliable condition. Rubber insulating equipment must be inspected before each day's use and immediately following an incident that may have caused damage. Rubber insulating equipment must be tested at regular intervals as follows: gloves and sleeves — every 6 months; blankets, covers, and line hoses — every 12 months. Equipment that fails inspection or testing must be immediately removed from service.</t>
  </si>
  <si>
    <t>Request the electrical PPE test log for 100% of rubber insulating PPE currently in service. Confirm: test dates are within the required intervals (gloves/sleeves within 6 months; blankets/covers/line hoses within 12 months); equipment with expired tests has been removed from service; and the log identifies each piece of equipment individually. Pull out a set of gloves — check the date stamp on the test tag inside the bag.</t>
  </si>
  <si>
    <t>29 CFR 1910.137(b)(1)-(b)(2)(iii),(c)</t>
  </si>
  <si>
    <t>HAND PROTECTION</t>
  </si>
  <si>
    <t>PP-15</t>
  </si>
  <si>
    <t>Hand Protection</t>
  </si>
  <si>
    <t>Employers must select and require employees to use appropriate hand protection when hands are exposed to: (1) skin absorption of harmful substances; (2) severe cuts or lacerations; (3) severe abrasions; (4) punctures; (5) chemical burns; (6) thermal burns; (7) harmful temperature extremes. Glove selection must be based on the specific chemical or physical hazard — a single glove material does not protect against all chemicals.</t>
  </si>
  <si>
    <t>Review the PPE hazard assessment for glove requirements. Walk 10% of chemical handling, sharp material, and heat work areas (minimum 5 areas). For each chemical task: confirm the glove material is appropriate for the specific chemical (consult the SDS glove recommendation in Section 8); nitrile gloves do not protect against all solvents; latex gloves do not protect against all acids; thin surgical-style gloves do not protect against cuts. Interview 10% of employees using gloves (minimum 5): ask what hazard their gloves protect against and whether they have ever experienced a skin exposure while wearing gloves (which may indicate wrong glove type).</t>
  </si>
  <si>
    <t>29 CFR 1910.138</t>
  </si>
  <si>
    <t>RESPIRATORY PROTECTION</t>
  </si>
  <si>
    <t>PP-16</t>
  </si>
  <si>
    <t>Respiratory Protection</t>
  </si>
  <si>
    <t>Where respirators are necessary or required, a written respiratory protection program must be implemented containing ALL 9 required elements per 29 CFR 1910.134(c)(1). See Evidence column checklist.</t>
  </si>
  <si>
    <t>CHECKLIST — review the written respiratory protection program against each required element. Mark each: Verified, Partial, or Absent.
□ (1)  Procedures for selecting respirators for use in the workplace
□ (2)  Medical evaluations of employees required to use respirators
□ (3)  Fit testing procedures for tight-fitting respirators
□ (4)  Procedures for proper use in routine and reasonably foreseeable emergency situations
□ (5)  Procedures and schedules for cleaning, disinfecting, storing, inspecting, repairing, discarding, and maintaining respirators
□ (6)  Procedures to ensure adequate air quality, quantity, and flow for atmosphere-supplying respirators
□ (7)  Training on the respiratory hazards to which employees may be exposed (routine and emergency)
□ (8)  Training on proper use, limitations, donning/doffing, and maintenance of respirators
□ (9)  Procedures for regularly evaluating the effectiveness of the program
Also confirm: program administrator is identified by name and has documented qualifications. If no respirator use occurs, confirm that a written evaluation exists determining no respirator is required.</t>
  </si>
  <si>
    <t>29 CFR 1910.134(a)(2),(c)(1),(c)(3)</t>
  </si>
  <si>
    <t>PP-17</t>
  </si>
  <si>
    <t>Respirators, training, and medical evaluations must be provided at no cost to employees required to use them.</t>
  </si>
  <si>
    <t>Confirm the employer provides respirators, training, and medical evaluations at no cost. Interview 10% of respirator-using employees (minimum 3): ask whether they were charged for any respirator-related cost (medical exam, fit test, or equipment).</t>
  </si>
  <si>
    <t>29 CFR 1910.134(c)(4)</t>
  </si>
  <si>
    <t>PP-18</t>
  </si>
  <si>
    <t>A medical evaluation must be completed before an employee is required to use a respirator, and before fit testing. The physician or licensed health care professional (PLHCP) must determine whether the employee is medically able to use the respirator. The medical questionnaire must be administered confidentially and results must not be shared with the employer without the employee's permission. Additional evaluations must be provided if: employee reports signs or symptoms related to respirator use; PLHCP, supervisor, or program administrator recommends it; information from the respirator program indicates a need; or fit testing shows difficulty using the respirator.</t>
  </si>
  <si>
    <t>Request medical evaluation records for 10% of respirator-using employees (minimum 5). Confirm: (1) initial evaluation was completed before first use — not concurrently with or after fit testing; (2) medical questionnaires were sent directly to the PLHCP (not reviewed by the supervisor or HR before submission); (3) the PLHCP issued a written recommendation letter confirming fitness for respirator use; and (4) employees who reported symptoms or experienced difficulty during fit testing received follow-up evaluations.</t>
  </si>
  <si>
    <t>29 CFR 1910.134(e)(1)-(e)(7)</t>
  </si>
  <si>
    <t>PP-19</t>
  </si>
  <si>
    <t>Before using a tight-fitting facepiece respirator, employees must pass a fit test with the same make, model, style, and size of respirator to be used on the job. Fit testing must be repeated: annually; when employees report changes in physical condition that could affect fit (significant weight gain/loss, dental work, facial scarring); and when the employer issues a different respirator facepiece. Both qualitative (QLFT) and quantitative (QNFT) fit test methods are acceptable for most respirators; QNFT is required for certain high-hazard respirator classes.</t>
  </si>
  <si>
    <t>Request fit test records for 10% of tight-fitting respirator users (minimum 5). Confirm: (1) fit test was completed before first use — not during training or orientation; (2) the respirator model recorded on the fit test record matches exactly the model currently issued to the employee; (3) fit test was repeated within the past 12 months; (4) the fit test method used (QLFT or QNFT) is appropriate for the respirator class. Cross-check a sample of fit test records against the current respirator inventory to confirm the employee is using the same model tested.</t>
  </si>
  <si>
    <t>29 CFR 1910.134(f)(1)-(f)(8)</t>
  </si>
  <si>
    <t>PP-20</t>
  </si>
  <si>
    <t>Procedures must be established and implemented to prevent facepiece seal leakage. Specifically: (1) No tight-fitting respirator shall be worn by employees who have facial hair that comes between the sealing surface of the facepiece and the face, or that interferes with valve function. (2) No tight-fitting respirator shall be worn by employees with any other condition that prevents a good face seal. (3) Each employee who wears a tight-fitting respirator must perform a user seal check immediately before each use using the positive and/or negative pressure check method.</t>
  </si>
  <si>
    <t>Walk 10% of areas where tight-fitting respirators are used (minimum 3 areas). Observe whether any employees wearing tight-fitting respirators have beards, goatees, or stubble in the sealing zone. Ask the safety manager how the no-facial-hair rule is enforced and communicated. Ask a respirator-wearing employee to demonstrate their user seal check before donning — confirm they use both the positive and negative pressure method or the manufacturer's recommended method.</t>
  </si>
  <si>
    <t>29 CFR 1910.134(g)(1)</t>
  </si>
  <si>
    <t>PP-21</t>
  </si>
  <si>
    <t>Respirators must be properly maintained: (1) Cleaned and disinfected as often as necessary to be maintained in a sanitary condition, and before being worn by a different person; (2) Stored in a clean, sanitary location to protect from damage, contamination, dust, sunlight, extreme temperature, excessive moisture, and damaging chemicals; (3) Inspected before each use and during cleaning, including checking respirator function, facepiece, head straps, valves, connecting tube, cartridges, canisters or filters, and any other applicable component with reference to the manufacturer's recommendations; (4) Defective respirators removed from service and discarded or repaired.</t>
  </si>
  <si>
    <t>Inspect 10% of respirators currently in storage or in use (minimum 5 respirators). For each: confirm the facepiece is clean and free of cracking or discoloration; straps are intact; exhalation valve is not damaged; cartridges/filters are within their service life (confirm the change schedule is documented and followed). Inspect storage conditions — respirators should be individually bagged and stored away from chemicals, heat, and UV light. Ask whether a respirator discovered to be defective during a pre-use inspection has ever been taken out of service and how that was documented.</t>
  </si>
  <si>
    <t>29 CFR 1910.134(h)(1)-(h)(4)</t>
  </si>
  <si>
    <t>PP-22</t>
  </si>
  <si>
    <t>Training must be provided to each employee required to use a respirator. Training must occur before use and annually thereafter (or more frequently if warranted). Training must be understandable to the employee and must cover: (1) why the respirator is necessary and how improper fit, use, or maintenance can compromise protection; (2) limitations and capabilities of the respirator; (3) effective use in emergency situations; (4) how to inspect, put on, remove, and check the seals; (5) maintenance and storage procedures; (6) medical signs and symptoms that may limit or prevent effective use.</t>
  </si>
  <si>
    <t>Request respirator training records for 10% of current respirator users (minimum 5). Confirm initial training before first use and annual retraining on file. Confirm training records show completion of all six content areas above (or confirm the training curriculum covers them). Interview 10% of respirator users (minimum 3): ask what hazard the respirator protects them from, when they would not use a respirator even if one were available (e.g., immediately dangerous to life and health atmosphere — should evacuate, not use a filter respirator), and how they store their respirator at end of shift.</t>
  </si>
  <si>
    <t>29 CFR 1910.134(k)</t>
  </si>
  <si>
    <t>PP-23</t>
  </si>
  <si>
    <t>The program administrator must conduct periodic workplace evaluations to ensure the program is being properly implemented and to consult with employees to identify problems. Evaluations must include: (1) conducting workplace and respirator use observations; (2) reviewing employee reports of problems; (3) identifying program deficiencies; and (4) correcting deficiencies before they affect employee health.</t>
  </si>
  <si>
    <t>Request the most recent respiratory protection program evaluation records. Confirm: observations were conducted in the work area (not just a review of paperwork); employee feedback was solicited; and any identified deficiencies were addressed. Ask the program administrator when they last walked the areas where respirators are used and what they observed.</t>
  </si>
  <si>
    <t>29 CFR 1910.134(l)</t>
  </si>
  <si>
    <t>PERSONAL FALL PROTECTION SYSTEMS</t>
  </si>
  <si>
    <t>PP-24</t>
  </si>
  <si>
    <t>Personal Fall Protection Systems</t>
  </si>
  <si>
    <t>All personal fall protection systems must meet general requirements: (1) Be designed, constructed, and installed per the applicable ANSI/ASSE standard; (2) Have connectors (snap hooks, carabiners, D-rings) that are corrosion-resistant and load-rated; (3) Have locking-type snap hooks to prevent rollout; (4) Self-retracting lifelines must meet ANSI/ASSE Z359.14; (5) Full-body harnesses must meet ANSI/ASSE Z359.11; (6) Equipment must be inspected before each use and removed from service if defective; (7) Equipment must be retired after a fall arrest event.</t>
  </si>
  <si>
    <t>Inspect 10% of fall protection equipment in inventory (minimum 5 harnesses and 5 lanyards/SRLs). For each harness: confirm ANSI Z359.11 marking; check the inspection date in the annual inspection log; look for cuts, tears, fraying, worn stitching, deformed D-rings, or cracked hardware. For SRLs: confirm ANSI Z359.14 marking; pull the lifeline out 12 inches and confirm it retracts under tension. Ask whether any harness or SRL has been involved in a fall arrest event — those must be removed from service immediately.</t>
  </si>
  <si>
    <t>29 CFR 1910.140(c)</t>
  </si>
  <si>
    <t>PP-25</t>
  </si>
  <si>
    <t>Personal fall arrest systems must: (1) Limit maximum arresting force on the employee to 1,800 lbs when used with a body harness; (2) Be rigged such that the employee can fall no more than 6 feet, nor contact any lower level; (3) Bring an employee to a complete stop and limit maximum deceleration distance to 3.5 feet; (4) Have sufficient strength to withstand twice the potential impact load or at least 5,000 lbs per attached employee.</t>
  </si>
  <si>
    <t>For areas where fall arrest systems are in use (elevated platforms, roof access, elevated maintenance areas): confirm the fall clearance calculation has been performed for each anchor point (total fall clearance = free fall + deceleration distance + worker height + safety factor — must not contact the lower level). Confirm anchor points or certified anchorage connectors are rated to 5,000 lbs per employee. Sample 10% of fall arrest anchor points in use (minimum 3).</t>
  </si>
  <si>
    <t>29 CFR 1910.140(d)</t>
  </si>
  <si>
    <t>PP-26</t>
  </si>
  <si>
    <t>Positioning systems must be rigged such that an employee cannot free-fall more than 2 feet. Positioning systems must be secured to an anchorage capable of supporting at least twice the potential impact load or at least 3,000 lbs, whichever is greater.</t>
  </si>
  <si>
    <t>If positioning systems (body belts with positioning lanyards) are used for work positioning on structures, poles, or elevated work surfaces: confirm the lanyard length limits free fall to 2 feet and the anchor meets the 3,000-lb minimum. Note that body belts are only permitted for positioning — not for fall arrest.</t>
  </si>
  <si>
    <t>29 CFR 1910.140(e)</t>
  </si>
  <si>
    <t>WALKING &amp; WORKING SURFACES COMPLIANCE AUDIT</t>
  </si>
  <si>
    <t>29 CFR 1910.22–30 — Walking and Working Surfaces. Prepared under attorney-client privilege.</t>
  </si>
  <si>
    <t>GENERAL WALKING-WORKING SURFACE REQUIREMENTS</t>
  </si>
  <si>
    <t>WW-1</t>
  </si>
  <si>
    <t>General Walking-Working Surface Requirements</t>
  </si>
  <si>
    <t>All places of employment, passageways, storerooms, and service rooms must be kept in a clean, orderly, and sanitary condition. Floor surfaces must be kept clean and as dry as possible. Drainage must be maintained for wet process areas, and false floors, platforms, mats, or other dry-standing places must be provided where workers stand in wet conditions.</t>
  </si>
  <si>
    <t>Walk 10% of the facility floor area (minimum 5 representative areas including production, maintenance, storage, and restroom/locker areas). Document: (1) any accumulations of debris, scrap, or product residue on walking surfaces; (2) wet areas without adequate drainage or dry-standing places; (3) oil or liquid spills not cleaned up; (4) any areas where material is stored in passageways or emergency egress paths. Compare findings to housekeeping inspection records to assess whether the inspection program is catching these conditions.</t>
  </si>
  <si>
    <t>29 CFR 1910.22(a)</t>
  </si>
  <si>
    <t>WW-2</t>
  </si>
  <si>
    <t>Each walking-working surface must be able to support the maximum intended load placed upon it. Loads must not exceed the surface's design load capacity.</t>
  </si>
  <si>
    <t>Walk 10% of elevated platforms, mezzanines, catwalks, and storage areas (minimum 3 locations). Confirm: posted load capacity signs are present where maximum loads could be approached or exceeded; ask whether any process or storage configuration changes since the last inspection could affect load distribution. If any elevated surface shows visible signs of deflection, cracking, or corrosion, document for immediate engineering review.</t>
  </si>
  <si>
    <t>29 CFR 1910.22(b)</t>
  </si>
  <si>
    <t>WW-3</t>
  </si>
  <si>
    <t>The employer must provide safe means of access and egress to and from each elevated walking-working surface, and must ensure that employees use those means.</t>
  </si>
  <si>
    <t>Walk to 10% of elevated work areas (minimum 5). Confirm: a proper access means (fixed ladder, stair, ramp) is present and accessible; no improvised climbing methods are in use (stacked pallets, barrels, equipment used as steps). Ask employees how they access elevated equipment for routine maintenance — confirm the intended access route is practical and actually being used.</t>
  </si>
  <si>
    <t>29 CFR 1910.22(c)</t>
  </si>
  <si>
    <t>WW-4</t>
  </si>
  <si>
    <t>Walking-working surfaces must be inspected on a regular basis and as necessary, and must be maintained in a safe condition. Any surface with a hazardous condition must be taken out of service and either guarded to prevent employee use or corrected/repaired before employees use it again. When structural repairs are involved, a qualified person must perform or supervise the repair.</t>
  </si>
  <si>
    <t>Request the walking-working surface inspection logs for the most recent quarter. Confirm: inspections occur at documented intervals; identified hazards are tracked to corrective action closure; any surface removed from service is physically barricaded (not just flagged on a log). Sample 10% of corrective actions from inspection logs (minimum 3) and trace each to a closed work order or documented repair.</t>
  </si>
  <si>
    <t>29 CFR 1910.22(d)</t>
  </si>
  <si>
    <t>LADDERS</t>
  </si>
  <si>
    <t>WW-5</t>
  </si>
  <si>
    <t>Ladders</t>
  </si>
  <si>
    <t>All ladders must meet the following general construction and use requirements: (1) Rungs, steps, and cleats must be parallel, level, and uniformly spaced 10-14 inches apart (center-to-center); (2) Minimum clear width of 11.5 inches for portable ladders, 16 inches for fixed ladders; (3) Ladder surfaces must be free of puncture and laceration hazards; (4) Ladders must be inspected before each shift and defective ladders must be immediately tagged 'Dangerous: Do Not Use' and removed from service; (5) Employees must face the ladder when climbing or descending; (6) At least one hand must grasp the ladder at all times; (7) No objects or loads carried that could cause loss of balance.</t>
  </si>
  <si>
    <t>Inspect 10% of ladders at the facility (minimum 5 ladders — include a mix of portable, fixed, and rolling). For each: (1) confirm the inspection date on the tag is current; (2) check rung spacing with a tape measure on 1-2 rungs; (3) check the minimum clear width; (4) look for cracked or broken rungs, bent side rails, missing feet or shoes, corrosion on metal ladders, and cracks or checks in wooden ladders; (5) observe whether ladders in storage are labeled correctly; (6) ask employees to demonstrate the correct climbing technique.</t>
  </si>
  <si>
    <t>29 CFR 1910.23(b)</t>
  </si>
  <si>
    <t>WW-6</t>
  </si>
  <si>
    <t>Portable ladders must additionally meet these requirements: (1) Not loaded beyond maximum intended load; (2) Used only on stable and level surfaces, or secured to prevent displacement; (3) Secured or guarded with barriers when placed in doorways, passageways, or driveways; (4) Not moved or extended while an employee is on the ladder; (5) No single-rail portable ladders in use; (6) When used for access to an upper landing surface, side rails must extend at least 3 feet above the upper landing; (7) Not placed on boxes, barrels, or other unstable bases to gain height; (8) Not tied or fastened together to provide added length unless designed for such use.</t>
  </si>
  <si>
    <t>Observe portable ladder use at 10% of locations where they are deployed (minimum 3 locations). Confirm: the 3-foot extension above upper landing surfaces where access is being made; no ladders placed on unstable bases; no single-rail ladders in use anywhere. Ask employees to demonstrate how they secure a ladder placed in a doorway or near a path of travel.</t>
  </si>
  <si>
    <t>29 CFR 1910.23(c)</t>
  </si>
  <si>
    <t>WW-7</t>
  </si>
  <si>
    <t>Fixed ladders must meet: (1) Minimum perpendicular clearance of 7 inches from centerline of rungs to nearest permanent object behind the ladder; (2) Side rails extend at least 42 inches above the top access level; (3) For through-ladders, extensions omit the rungs and flare the side rails 24-30 inches apart; (4) Pitch not greater than 90 degrees from horizontal; (5) Clear width of at least 15 inches on each side of the centerline; (6) Fixed ladders extending more than 24 feet above a lower level must have a ladder safety system (preferred) or cage/well.</t>
  </si>
  <si>
    <t>Walk to 10% of fixed ladders at the facility (minimum 5 fixed ladders). For ladders over 24 feet: confirm a ladder safety system (self-retracting lifeline system) or cage/well is installed. For all fixed ladders: confirm 42-inch side rail extension above the landing; check clearance behind rungs by estimating or measuring the space behind the rung centerline. Look for clogged cages or deteriorated ladder safety system components.</t>
  </si>
  <si>
    <t>29 CFR 1910.23(d)</t>
  </si>
  <si>
    <t>WW-8</t>
  </si>
  <si>
    <t>Mobile ladder stands and platforms must meet: (1) Step width of at least 16 inches; (2) Slip-resistant step and platform surfaces; (3) Load capacity of at least 4 times the maximum intended load; (4) Wheels/casters capable of supporting proportional share of 4 times the maximum intended load; (5) Handrails with vertical height 29.5-37 inches on units with top step height of 4 feet or more; (6) Maximum work-surface height must not exceed 4 times the shortest base dimension (unless stabilized); (7) A system to prevent horizontal movement when an employee is on the unit.</t>
  </si>
  <si>
    <t>Inspect 10% of mobile ladder stands and platforms in use (minimum 3 units). Confirm: the wheel lock or brake system functions; the top step height does not exceed 4 times the shortest base dimension (tip-over hazard); handrails are present on units with top steps at or above 4 feet; load capacity marking is visible. Ask employees to demonstrate locking the wheels before climbing.</t>
  </si>
  <si>
    <t>29 CFR 1910.23(e)(1)</t>
  </si>
  <si>
    <t>STEP BOLTS AND MANHOLE STEPS</t>
  </si>
  <si>
    <t>WW-9</t>
  </si>
  <si>
    <t>Step Bolts and Manhole Steps</t>
  </si>
  <si>
    <t>Step bolts used for climbing structures must meet requirements for dimensions (minimum 4.5-inch tread depth, minimum 8-inch spacing, minimum 4.5-inch width), slip resistance, and load capacity (minimum 250 lbs). Manhole steps must be corrosion-resistant (plastic-encapsulated steel or non-corrosive material) and capable of supporting 250 lbs minimum.</t>
  </si>
  <si>
    <t>If the facility has utility vaults, manholes, or structures with step bolts (common in outdoor utility or process areas): inspect 10% of step bolt installations and manhole step locations (minimum 2 locations). Confirm: no steps are missing, corroded through, or loose; spacing is sufficient to allow safe use; and the steps are labeled or included in the facility's walking-working surface inspection program.</t>
  </si>
  <si>
    <t>29 CFR 1910.24(a)-(b)</t>
  </si>
  <si>
    <t>STAIRWAYS</t>
  </si>
  <si>
    <t>WW-10</t>
  </si>
  <si>
    <t>Stairways</t>
  </si>
  <si>
    <t>Standard stairways must meet: (1) Width of at least 22 inches; (2) Rise height (riser) of 6.5 to 9.5 inches (uniform throughout the flight, with maximum variation of 3/8 inch); (3) Tread depth of at least 9.5 inches (uniform throughout the flight, with maximum variation of 3/8 inch); (4) Non-slip surfaces on stair treads; (5) Stairway angle between 30 and 50 degrees from horizontal.</t>
  </si>
  <si>
    <t>Walk to 10% of stairways at the facility (minimum 5 stairways). For each: (1) observe whether tread surfaces are in good condition and non-slip (rubber nosing or abrasive strips present and not worn through); (2) check for any broken, cracked, or missing treads; (3) check riser height uniformity (a single uneven step is a significant trip hazard — measure the first and last riser height if uniformity appears compromised); (4) confirm adequate width for the level of use.</t>
  </si>
  <si>
    <t>29 CFR 1910.25(b)-(c)</t>
  </si>
  <si>
    <t>WW-11</t>
  </si>
  <si>
    <t>Spiral, ship, and alternating-tread stairs may only be used where it is not practical to install a standard stairway. Each type has specific design requirements. Spiral stairs: minimum 26-inch inside diameter, 7.5-inch minimum tread depth. Ship stairs: 50-70 degree angle, 8-inch minimum tread depth. Alternating-tread stairs: 50-70 degree angle, 8.5-inch minimum tread depth.</t>
  </si>
  <si>
    <t>If any non-standard stair types are present: confirm they are used only in locations where a standard stair is not practical (document the reason for selection). Confirm each type meets its specific design requirements. Confirm handrails are installed on alternating-tread stairs and ship stairs.</t>
  </si>
  <si>
    <t>29 CFR 1910.25(d)-(f)</t>
  </si>
  <si>
    <t>DOCKBOARDS</t>
  </si>
  <si>
    <t>WW-12</t>
  </si>
  <si>
    <t>Dockboards</t>
  </si>
  <si>
    <t>Dockboards (bridge plates) must be: (1) Strong enough to carry the load imposed upon them; (2) Secured in position (to the dock or vehicle) by anchors or equivalent means before use to prevent accidental movement; (3) Marked with the rated load capacity; (4) Not loaded beyond their rated load capacity.</t>
  </si>
  <si>
    <t>Inspect 10% of dockboards in use at the facility (minimum 3 dockboards). Confirm: load capacity markings are visible; the securing mechanism (anchor hooks, lip hooks, or chains) is present and used; ask a dock employee to demonstrate how they secure the dockboard before allowing forklift traffic across it. Look for bent, cracked, or corroded dockboards that may be structurally compromised.</t>
  </si>
  <si>
    <t>29 CFR 1910.26</t>
  </si>
  <si>
    <t>SCAFFOLDS AND ROPE DESCENT SYSTEMS</t>
  </si>
  <si>
    <t>WW-13</t>
  </si>
  <si>
    <t>Scaffolds and Rope Descent Systems</t>
  </si>
  <si>
    <t>Scaffolds used at this facility must meet the same requirements as those found in OSHA's Construction standards at 29 CFR 1926 Subpart L, including: (1) Load rating and capacity markings; (2) Planking or decking of proper grade and condition; (3) Guardrails, mid-rails, and toe boards on all open sides and ends; (4) Erected, moved, dismantled, or altered only under the supervision of a competent person; (5) Inspected by a competent person before each work shift and after any occurrence that could affect structural integrity.</t>
  </si>
  <si>
    <t>If scaffolding is used for maintenance or construction work at this facility: walk 10% of erected scaffolds (minimum 2 structures). Confirm: a tagged inspection has been completed for the current work shift; guardrails are present on all open sides; toe boards are in place to prevent tools from falling; the scaffold tag or log identifies the competent person who performed the inspection. If scaffolding appears structurally unstable or shows damaged components, document immediately.</t>
  </si>
  <si>
    <t>29 CFR 1910.27</t>
  </si>
  <si>
    <t>WW-14</t>
  </si>
  <si>
    <t>Rope descent systems must have anchorages certified by a qualified person to support at least 5,000 lbs per worker. Before each use, the rope, descent controller, carabiner, harness, and anchor must be inspected. Ropes must not be used if defective.</t>
  </si>
  <si>
    <t>If rope descent systems are used for exterior maintenance or window washing activities: confirm the anchorage certification documentation (qualified engineer certification) is on file and current. Confirm users are trained and that a pre-use inspection checklist is completed before each descent.</t>
  </si>
  <si>
    <t>29 CFR 1910.27(b)(1)-(b)(2)</t>
  </si>
  <si>
    <t>FALL PROTECTION REQUIREMENTS</t>
  </si>
  <si>
    <t>WW-15</t>
  </si>
  <si>
    <t>Fall Protection Requirements</t>
  </si>
  <si>
    <t>The employer must ensure that each employee exposed to a fall hazard of 4 feet or more to a lower level is protected by a guardrail system, safety net system, or personal fall protection system. Additionally, fall protection is required at: (1) unprotected sides and edges; (2) hoist areas (guardrail or gate required); (3) holes in walking surfaces (cover or guardrail); (4) ramps, runways, and walkways; (5) walking surfaces above dangerous equipment; (6) wall and floor openings; (7) fixed ladders over 24 feet; (8) stairways with unprotected sides or edges; (9) scaffolds; (10) low-slope roofs.</t>
  </si>
  <si>
    <t>Walk 10% of all elevated areas, elevated platforms, mezzanines, open floor holes, and areas adjacent to floor openings (minimum 10 locations). For each location: confirm the appropriate fall protection system is in place; measure or estimate the fall height; check guardrail integrity (shake each rail — it must withstand 200 lbs of outward force); confirm all floor/wall openings have either guardrails or covers. Document every unguarded edge, missing guardrail section, or uncovered opening found.</t>
  </si>
  <si>
    <t>29 CFR 1910.28(b)(1)-(b)(15),(c)</t>
  </si>
  <si>
    <t>WW-16</t>
  </si>
  <si>
    <t>Employees must be protected from falling objects through toeboards, screens, guardrail systems, canopies, or barricades whenever work is performed above other employees or in areas where overhead work creates a dropped-object hazard.</t>
  </si>
  <si>
    <t>Walk 10% of areas where elevated work occurs (maintenance catwalks, mezzanine edges, overhead crane work) to 10% of locations with overhead work (minimum 5 locations). Confirm: toeboards (minimum 3.5 inches in height) are present on all elevated platforms with guardrails where objects could fall; or a barricade prevents employees from working below; or debris netting is installed. Dropped-object incidents are among the most preventable serious injuries — document any overhead work area without protection.</t>
  </si>
  <si>
    <t>29 CFR 1910.28(c)</t>
  </si>
  <si>
    <t>FALL PROTECTION SYSTEMS — CRITERIA AND PRACTICES</t>
  </si>
  <si>
    <t>WW-17</t>
  </si>
  <si>
    <t>Fall Protection Systems — Criteria and Practices</t>
  </si>
  <si>
    <t>Guardrail systems must: (1) Be between 39 and 45 inches in height (measured from the walking-working surface to the top of the top rail); (2) Withstand a force of 200 lbs applied in any outward or downward direction within 2 inches of the top edge; (3) Include a mid-rail (at approximately mid-height between the top rail and walking surface) or equivalent; (4) Have no openings large enough for an employee to fall through; (5) If made of wire rope, have rope capable of withstanding 200 lbs; (6) Not have any horizontal members acting as a ladder between the top rail and the walking surface.</t>
  </si>
  <si>
    <t>Evalute guardrail height and guardrailed locations (minimum 10). Height must be 39-45 inches. Physically attempt to push or pull the top rail — it should be rigid. Confirm mid-rails or equivalent are present. Look for damaged or missing mid-rail sections, guardrail posts that are loose, or gaps in the system wide enough for a person to fall through.</t>
  </si>
  <si>
    <t>29 CFR 1910.29(b)</t>
  </si>
  <si>
    <t>WW-18</t>
  </si>
  <si>
    <t>Covers for holes in floors, roofs, and platforms must: (1) Be capable of supporting at least twice the weight of employees, equipment, and materials that may be imposed on the cover at any one time; (2) Be secured to prevent accidental displacement — not just set in place; (3) Be color-coded or marked 'HOLE' or 'COVER' to provide warning.</t>
  </si>
  <si>
    <t>Walk to 10% of hole cover locations (minimum 5 covers). For each: attempt to displace the cover — it must require a deliberate action to remove (cleat, chain, bolt, or other securing mechanism); confirm the cover is marked 'HOLE' or 'COVER' or color-coded in a warning color; check the cover for structural adequacy (no cracks, no excessive deflection under load). Document any unsecured or unmarked hole covers.</t>
  </si>
  <si>
    <t>29 CFR 1910.29(e)</t>
  </si>
  <si>
    <t>WW-19</t>
  </si>
  <si>
    <t>Handrails and stair rail systems must: (1) Handrail top surface height: 30-38 inches above stair nosing; (2) Stair rail system top edge height: 36-42 inches above stair nosing; (3) Capable of withstanding a force of 200 lbs applied in any downward or outward direction at any point along the top edge; (4) Smooth surfaces to prevent lacerations; (5) Continuous the full length of the stair flight (from top riser to bottom riser) with no gaps that could catch a sleeve or fall restraint.</t>
  </si>
  <si>
    <t>Walk to 10% of stairways and measure handrail heights at the top and bottom of each stair (minimum 5 stairways). Compare to the 30-38 inch handrail requirement. Test stability: apply downward and outward force by hand. Check for continuity — no missing sections between top and bottom landings. Look for any handrails with sharp edges, splinters, or protrusions that could cause lacerations.</t>
  </si>
  <si>
    <t>29 CFR 1910.29(f)</t>
  </si>
  <si>
    <t>WW-20</t>
  </si>
  <si>
    <t>Fixed ladders over 24 feet above a lower level must be equipped with a ladder safety system or a personal fall arrest system. Cages and wells are permitted only for ladders installed before November 19, 2018 (and must be replaced with a ladder safety system or PFAS by November 18, 2036). Ladder safety systems and personal fall arrest systems used on ladders must allow the employee to climb and descend without continually having to adjust the system.</t>
  </si>
  <si>
    <t>Identify 100% of fixed ladders at the facility that extend more than 24 feet above a lower level. For each: confirm a ladder safety system (self-retracting lifeline or climb assist device) or personal fall arrest system is installed. If a legacy cage or well is still in use (installed before November 19, 2018), note the compliant replacement deadline of November 18, 2036 and confirm the cage meets dimensional requirements in the interim.</t>
  </si>
  <si>
    <t>29 CFR 1910.29(g),(i)</t>
  </si>
  <si>
    <t>WW-21</t>
  </si>
  <si>
    <t>Personal fall arrest systems (PFAS) used to protect against falls from walking-working surfaces must: (1) Limit maximum arresting force to 1,800 lbs; (2) Be rigged to minimize free-fall distance to 6 feet; (3) Bring the employee to a complete stop with a deceleration distance no greater than 3.5 feet; (4) Not allow the employee to contact a lower level or obstruction; (5) Have anchorage capable of supporting 5,000 lbs per attached employee; (6) Be used with a full-body harness (not a body belt for fall arrest).</t>
  </si>
  <si>
    <t>For 10% of locations where employees use PFAS for work at heights beyond guardrail protection (minimum 3 locations): confirm the total fall clearance (free fall + deceleration + harness height + safety factor) clears the lower level or obstruction. Confirm anchorage points are rated at 5,000 lbs (anchor certification or structural engineer confirmation). Confirm full-body harnesses — not body belts — are used for fall arrest.</t>
  </si>
  <si>
    <t>29 CFR 1910.29(j)</t>
  </si>
  <si>
    <t>FALL PROTECTION TRAINING</t>
  </si>
  <si>
    <t>WW-22</t>
  </si>
  <si>
    <t>Fall Protection Training</t>
  </si>
  <si>
    <t>Before being exposed to a fall hazard, each employee must be trained by a qualified person in: (1) The nature of fall hazards in the work area; (2) The correct procedures for installing, inspecting, operating, maintaining, and disassembling the personal fall protection systems to be used; (3) The use and operation of the walking-working surfaces, guardrail systems, and personal fall protection systems; (4) The correct procedures for equipment and materials handling in work area; (5) The maximum intended load-carrying capacities of the equipment to be used. Retraining is required when the employer has reason to believe an employee lacks the required understanding or when equipment or surfaces change.</t>
  </si>
  <si>
    <t>Request fall protection training records for 10% of employees who work in areas requiring fall protection (minimum 10 employees). Confirm initial training was completed before first exposure to fall hazards. Interview 10% of employees working at heights (minimum 5). Ask: 'How do you inspect your harness before use?' 'What would you do if you found a fall while using a harness?' 'Who is responsible for anchoring points on this job?' Document gaps between training content and actual equipment/work conditions.</t>
  </si>
  <si>
    <t>29 CFR 1910.30(a)-(d)</t>
  </si>
  <si>
    <t>RECORDKEEPING COMPLIANCE AUDIT</t>
  </si>
  <si>
    <t>29 CFR 1903/1904 — Recordkeeping and Posting Requirements. Prepared under attorney-client privilege.</t>
  </si>
  <si>
    <t>RECORDKEEPING REQUIREMENTS</t>
  </si>
  <si>
    <t>RK-1</t>
  </si>
  <si>
    <t>Recordkeeping Requirements</t>
  </si>
  <si>
    <t>Employer records work-related fatalities, injuries, and illnesses on the OSHA 300 Log.</t>
  </si>
  <si>
    <t>Pull the OSHA 300 Log for the current calendar year. Cross-reference against the incident/case management system or first aid log. Sample 10% of all reported injuries and illnesses from the audit period (minimum 3 cases) — confirm each recordable case appears on the 300 Log and that non-recordable cases are appropriately excluded.</t>
  </si>
  <si>
    <t>29 CFR 1904.4(a)</t>
  </si>
  <si>
    <t>RK-2</t>
  </si>
  <si>
    <t>Employer uses the correct OSHA forms: OSHA 300 Log of Work-Related Injuries and Illnesses, OSHA 300-A Summary of Work-Related Injuries and Illnesses, and OSHA 301 Injury and Illness Incident Report (or an approved equivalent).</t>
  </si>
  <si>
    <t>Request the three required forms. Confirm they are the current OSHA versions (or an approved equivalent). If an alternative to the OSHA 301 is used, confirm it is readable, understandable, and completed using the same instructions as the OSHA form it replaces. If computer-based, verify the system can produce equivalent forms on demand.</t>
  </si>
  <si>
    <t>29 CFR 1904.29(a),(b)(4)</t>
  </si>
  <si>
    <t>RK-3</t>
  </si>
  <si>
    <t>Each recordable injury/illness is entered on the OSHA 300 Log within 7 calendar days of the employer receiving information that a recordable case has occurred.</t>
  </si>
  <si>
    <t>From your case sample (10% of recordable cases, minimum 3), compare the date the employer received information about the injury/illness to the date it was entered on the OSHA 300 Log. The entry must appear within 7 calendar days of that notification date — not 7 days from the injury date.</t>
  </si>
  <si>
    <t>29 CFR 1904.29(b)(3)</t>
  </si>
  <si>
    <t>RK-4</t>
  </si>
  <si>
    <t>Computer-based recordkeeping systems are acceptable only if they can produce the equivalent OSHA 300, 300-A, and 301 forms when needed.</t>
  </si>
  <si>
    <t>If the site uses electronic recordkeeping (e.g., EHS software), ask the site to generate each form on-screen or print it during the audit. The forms must be producible by the end of the next business day for employee requests and within 4 business hours for government representative requests.</t>
  </si>
  <si>
    <t>29 CFR 1904.29(b)(5)</t>
  </si>
  <si>
    <t>RK-5</t>
  </si>
  <si>
    <t>Employee names must not be entered on the OSHA 300 Log for privacy concern cases. Privacy concern cases include: injuries/illnesses affecting an intimate body part or the reproductive system; resulting from sexual assault; mental illness; HIV, hepatitis, or tuberculosis; needlestick or sharps injuries; or any illness voluntarily designated as private by the employee.</t>
  </si>
  <si>
    <t>Review 10% of 300 Log entries (minimum 3) that appear to involve privacy-sensitive conditions. Confirm the employee's name is replaced with 'Privacy Case' on the log. Verify no personally identifiable information in the description column could identify the employee.</t>
  </si>
  <si>
    <t>29 CFR 1904.29(b)(7),(9),(10)</t>
  </si>
  <si>
    <t>RK-6</t>
  </si>
  <si>
    <t>A separate, confidential list linking each privacy case number to the employee's name must be maintained and stored separately from the OSHA 300 Log.</t>
  </si>
  <si>
    <t>Request the confidential privacy case list. Confirm it is stored in a restricted location (not filed with the 300 Log). Verify each privacy case logged on the 300 Log appears on the confidential list. The list should not be accessible to general management.</t>
  </si>
  <si>
    <t>29 CFR 1904.29(b)(6)</t>
  </si>
  <si>
    <t>RK-7</t>
  </si>
  <si>
    <t>If the employer has multiple business establishments, a separate OSHA 300 Log must be maintained for each establishment expected to be in operation for one year or longer.</t>
  </si>
  <si>
    <t>If this employer operates multiple sites, confirm a site-specific 300 Log exists for this establishment — not a combined log shared across locations. If logs are maintained centrally, confirm the site can produce its own log by end of next business day.</t>
  </si>
  <si>
    <t>29 CFR 1904.30(a),(b)(1)</t>
  </si>
  <si>
    <t>RK-8</t>
  </si>
  <si>
    <t>For short-term establishments (operating less than one year), injuries/illnesses must be recorded either on an establishment-specific log, one log covering all short-term establishments, or logs organized by division or region.</t>
  </si>
  <si>
    <t>If the employer has any temporary or short-term field locations, confirm which of the three allowable methods is used to capture recordable cases for those locations. Verify that no cases fall through the cracks between the host and field establishment.</t>
  </si>
  <si>
    <t>29 CFR 1904.30(b)(1)-(2)</t>
  </si>
  <si>
    <t>RK-9</t>
  </si>
  <si>
    <t>Employees who work at multiple locations or at no fixed location must be linked to one business establishment for recordkeeping. Injuries at another employer's establishment are recorded on that establishment's log; injuries elsewhere are recorded on the employee's home establishment log.</t>
  </si>
  <si>
    <t>If this site has employees who regularly work at other employer locations or in the field, confirm the site has a defined rule for which log captures their recordable cases. Ask for one example and trace where the case was recorded.</t>
  </si>
  <si>
    <t>29 CFR 1904.30(b)(3)-(4)</t>
  </si>
  <si>
    <t>RK-10</t>
  </si>
  <si>
    <t>The employer must record recordable injuries/illnesses for all employees under day-to-day supervision, regardless of employment type — including labor, executive, hourly, salaried, part-time, seasonal, migrant, and temporary/staffing agency workers the site supervises.</t>
  </si>
  <si>
    <t>Confirm with HR or the safety manager how many temporary or contract workers are on site under day-to-day supervision. Review the 300 Log to confirm any recordable cases involving those workers appear. Check the staffing agency contract for language on recordkeeping responsibility.</t>
  </si>
  <si>
    <t>29 CFR 1904.31(a)-(b)</t>
  </si>
  <si>
    <t>RK-11</t>
  </si>
  <si>
    <t>At year-end, the OSHA 300 Log must be reviewed, the 300-A Annual Summary created and certified by a company executive, and the 300-A posted February 1 through April 30 per 29 CFR 1904.32. The 300-A must contain 8 required data elements. See Evidence column checklist.</t>
  </si>
  <si>
    <t>Review the most recent OSHA 300-A Annual Summary. Verify all 8 required elements are present and completed:
□ (1)  Totals in each column from the OSHA 300 Log (enter zeros if no recordable cases — do not leave blank)
□ (2)  Calendar year covered
□ (3)  Company name
□ (4)  Establishment name
□ (5)  Establishment address
□ (6)  Annual average number of employees covered by the 300 Log (frequently left blank — this is a deficiency)
□ (7)  Total hours worked by all employees covered by the 300 Log (frequently left blank — this is a deficiency)
□ (8)  Certification: signature, printed name, title, and date — by a company executive (owner, officer, highest-ranking official at the establishment, or that person's immediate supervisor)
Also confirm: request posting evidence (date-stamped photo, posting log, or supervisor attestation) that the 300-A was displayed in a conspicuous location from February 1 through April 30.</t>
  </si>
  <si>
    <t>29 CFR 1904.32(a),(b)(2)-(6)</t>
  </si>
  <si>
    <t>RK-12</t>
  </si>
  <si>
    <t>The employer must retain OSHA 300 Logs, 300-A Annual Summaries, 301 Incident Report Forms, and the privacy case list for 5 years following the end of the calendar year covered.</t>
  </si>
  <si>
    <t>Request 300 Logs and 300-A summaries for the 5 prior calendar years. Confirm all are present and have not been destroyed. If electronic, confirm the system retains records with appropriate date stamps.</t>
  </si>
  <si>
    <t>29 CFR 1904.33(a)</t>
  </si>
  <si>
    <t>RK-13</t>
  </si>
  <si>
    <t>The OSHA 300 Log must be updated during the 5-year retention period to reflect any newly discovered recordable cases or changes in the classification, description, or outcome of previously recorded cases. Changes are made by lining out the original entry and entering the new information.</t>
  </si>
  <si>
    <t>Ask the safety manager whether any cases were reclassified or had outcomes change (e.g., days away extended after the year closed, a first-aid case later requiring medical treatment). If yes, confirm the 300 Log was updated. Also review for any cases that appear to have an incorrect outcome column checked.</t>
  </si>
  <si>
    <t>29 CFR 1904.33(b)(1)</t>
  </si>
  <si>
    <t>RK-14</t>
  </si>
  <si>
    <t>If the business changed ownership during the calendar year, the original owner must record and report work-related injuries and illnesses only for the period it owned the establishment and must transfer all records to the new owner.</t>
  </si>
  <si>
    <t>If an ownership change occurred during the audit period, confirm a record-transfer document exists and that the new owner has received and retained prior records. If no ownership change, mark Not Applicable.</t>
  </si>
  <si>
    <t>29 CFR 1904.34</t>
  </si>
  <si>
    <t>RK-15</t>
  </si>
  <si>
    <t>Employees and their representatives have the right to access injury and illness records. The employer must: (1) Inform employees how to report an injury/illness promptly and accurately. (2) Inform employees they have the right to report without retaliation. (3) Not discharge or discriminate against employees for reporting. (4) Provide a copy of the 300 Log by end of next business day when requested. (5) Provide a copy of the 301 for their own case by end of next business day. (6) Not charge a fee for the first copy.</t>
  </si>
  <si>
    <t>Ask the safety manager how employees are informed of their right to report injuries and access records. Confirm this information is communicated during onboarding. Interview 1-2 employees: ask if they know how to report an injury and whether they have ever felt discouraged from reporting. Confirm no fee is charged for record copies.</t>
  </si>
  <si>
    <t>29 CFR 1904.35</t>
  </si>
  <si>
    <t>RK-16</t>
  </si>
  <si>
    <t>The employer must report to OSHA (or the State Plan equivalent) within 8 hours: any work-related employee fatality. Within 24 hours: any work-related in-patient hospitalization of one or more employees; any work-related amputation; any work-related loss of an eye. Reports may be made by phone to the nearest OSHA Area Office, by phone to 1-800-321-OSHA, or online at osha.gov.</t>
  </si>
  <si>
    <t>Ask the safety manager whether any fatality, hospitalization, amputation, or eye loss has occurred in the past 3 years. If yes, request the OSHA report confirmation (confirmation number, date/time of report) and compare to the incident date. Confirm the site knows all three reporting methods.</t>
  </si>
  <si>
    <t>29 CFR 1904.39(a)</t>
  </si>
  <si>
    <t>RK-17</t>
  </si>
  <si>
    <t>The employer must provide copies of the OSHA 300 Log, 300-A, and 301 forms to any authorized government representative (OSHA, NIOSH, or State Plan representative) conducting an inspection or investigation within 4 business hours of the request.</t>
  </si>
  <si>
    <t>Ask the safety manager: 'If an OSHA inspector arrived today and requested your 300 Log, who would pull the records and how long would it take?' Confirm a named individual is responsible and that records are accessible within 4 business hours. Verify this process is documented or trained.</t>
  </si>
  <si>
    <t>29 CFR 1904.40(a); 1904.7</t>
  </si>
  <si>
    <t>RK-18</t>
  </si>
  <si>
    <t>Covered employers must submit their OSHA 300-A data electronically through OSHA's Injury Tracking Application (ITA) by March 2 of the year following the calendar year covered. Coverage depends on establishment size and industry: establishments with 250+ employees must submit 300-A annually; establishments with 20-249 employees in high-hazard industries must also submit; all establishments must submit if notified individually by OSHA.</t>
  </si>
  <si>
    <t>Confirm whether this establishment meets the electronic submission threshold (250+ employees, or 20-249 in a covered high-hazard industry per Appendix A to 1904 Subpart E). If yes, request the ITA submission confirmation email or screenshot for the most recent year submitted. Confirm submission was completed by the March 2 deadline.</t>
  </si>
  <si>
    <t>29 CFR 1904.41</t>
  </si>
  <si>
    <t>RK-19</t>
  </si>
  <si>
    <t>If the Bureau of Labor Statistics (BLS) notifies the employer that it has been selected to participate in the annual Survey of Occupational Injuries and Illnesses, the employer must complete and return the survey form by the deadline specified on the form.</t>
  </si>
  <si>
    <t>Ask whether the site has received a BLS survey notification in the past two years. If yes, request evidence of timely response (completed form or submission confirmation). Note: even employers otherwise exempt from recordkeeping must respond to BLS surveys.</t>
  </si>
  <si>
    <t>29 CFR 1904.42</t>
  </si>
  <si>
    <t>RECORDING CRITERIA</t>
  </si>
  <si>
    <t>RK-20</t>
  </si>
  <si>
    <t>Recording Criteria</t>
  </si>
  <si>
    <t>A recordable case is one that is work-related, is a new case, AND meets one or more general recording criteria: (1) death; (2) days away from work; (3) restricted work or job transfer; (4) medical treatment beyond first aid; (5) loss of consciousness; (6) significant injury or illness diagnosed by a physician or PLHCP (including cancer, chronic irreversible disease, fractured or cracked bone, or punctured eardrum).</t>
  </si>
  <si>
    <t>Sample 10% of all cases from the audit period (minimum 5 cases, including both recorded and excluded cases). For each case: (1) independently determine work-relatedness; (2) determine if it is a new case; (3) identify whether any general recording criterion applies. Compare your determination to the site's classification on the 300 Log. Document any cases where your determination differs from the site's.</t>
  </si>
  <si>
    <t>29 CFR 1904.7</t>
  </si>
  <si>
    <t>RK-21</t>
  </si>
  <si>
    <t>All injuries and illnesses that arise in the work environment are presumed work-related. Exceptions (not recordable): employee was present as a member of the general public; signs/symptoms result solely from a non-work event; voluntary participation in a wellness program; eating/drinking personal food; personal tasks outside assigned work hours; personal grooming or self-medication; motor vehicle accident on a company parking lot while commuting; the common cold or flu; mental illness (unless a licensed professional states it is work-related).</t>
  </si>
  <si>
    <t>From your case sample (10%, minimum 5), review any cases the site excluded as non-recordable. Confirm the exclusion falls within one of the eight defined exceptions. Be alert for common misapplications — particularly personal grooming exclusions applied broadly, or 'commuting' exclusions applied to employees who were performing work tasks during travel.</t>
  </si>
  <si>
    <t>29 CFR 1904.5(b)(1)-(7)</t>
  </si>
  <si>
    <t>RK-22</t>
  </si>
  <si>
    <t>A new case must be recorded if: (1) the employee has not previously experienced a recorded injury/illness of the same type affecting the same part of the body, OR (2) the employee previously had such a case but had completely recovered and a new work event caused symptoms to reappear.</t>
  </si>
  <si>
    <t>From your case sample, identify any cases involving a body part or condition the employee had a prior recorded case for. Confirm the site applied the new-case test — fully recovered + new workplace event = new case. Chronic conditions (occupational cancer, asbestosis, silicosis) should be recorded once, not re-recorded each time symptoms recur.</t>
  </si>
  <si>
    <t>29 CFR 1904.6</t>
  </si>
  <si>
    <t>RK-23</t>
  </si>
  <si>
    <t>Needlestick and sharps injuries involving another person's blood or other potentially infectious materials (OPIM) must be recorded on the OSHA 300 Log as an injury. The employee's name must be withheld (privacy case). If the employee is later diagnosed with a bloodborne disease as a result, the record must be updated from injury to illness.</t>
  </si>
  <si>
    <t>If the site has any exposure to bloodborne pathogens (maintenance on medical waste equipment, first aid providers, health services): ask whether any sharps exposure incidents have occurred in the audit period. If yes, confirm they appear on the 300 Log as privacy cases and that any resulting diagnoses were used to update the record.</t>
  </si>
  <si>
    <t>29 CFR 1904.8</t>
  </si>
  <si>
    <t>RK-24</t>
  </si>
  <si>
    <t>If an employee is removed from a job due to an OSHA medical removal standard (e.g., lead standard 1910.1025, cadmium standard 1910.1027, hexavalent chromium 1910.1026, noise-induced hearing loss under 1910.95), that removal must be recorded as days away from work or restricted work activity, as applicable. Chemical exposure removals must be identified as poisoning on the 300 Log.</t>
  </si>
  <si>
    <t>Identify whether any OSHA standards with medical removal provisions apply at this facility (confirm with the safety manager). Sample 10% of MRP-triggered removals from the audit period (minimum 1) and verify they are recorded correctly on the 300 Log.</t>
  </si>
  <si>
    <t>29 CFR 1904.9(b)(1)-(3)</t>
  </si>
  <si>
    <t>RK-25</t>
  </si>
  <si>
    <t>Work-related hearing loss is recordable when: (1) the employee has experienced a Standard Threshold Shift (STS) — an average change in hearing threshold of 10 dB or more at 2000, 3000, and 4000 Hz in one or both ears — AND (2) the employee's total hearing level is 25 dB or more above audiometric zero (averaged at 2000, 3000, and 4000 Hz) in the same ear(s). Age adjustment is permitted for the STS but not the 25 dB level.</t>
  </si>
  <si>
    <t>Request the audiometric testing program results for the audit period. Confirm the audiologist or program administrator has flagged any STS cases and applied both the STS test and the 25 dB level test. Sample 10% of STS cases flagged in the past year (minimum 2) and verify the recordability determination and 300 Log entry. Confirm STS cases are identified in the hearing loss column of the 300 Log.</t>
  </si>
  <si>
    <t>29 CFR 1904.10</t>
  </si>
  <si>
    <t>RK-26</t>
  </si>
  <si>
    <t>A work-related tuberculosis (TB) infection is recordable when: (1) the employee was occupationally exposed to a known case of active TB, AND (2) the employee subsequently develops a TB infection as evidenced by a positive skin test or diagnosis by a PLHCP.</t>
  </si>
  <si>
    <t>Ask whether this facility has any potential TB exposure (healthcare adjacency, corrections, homeless shelter proximity). If yes, confirm a TB surveillance protocol is in place and that any positive skin test conversions following known occupational exposure are evaluated for recordability. If TB exposure is not present, mark Not Applicable.</t>
  </si>
  <si>
    <t>29 CFR 1904.11</t>
  </si>
  <si>
    <t>LIMITED RECORDKEEPING EXEMPTIONS</t>
  </si>
  <si>
    <t>RK-27</t>
  </si>
  <si>
    <t>Limited Recordkeeping Exemptions</t>
  </si>
  <si>
    <t>Employers with 10 or fewer employees at all times during the entire calendar year are partially exempt from routine OSHA recordkeeping. However, even exempt employers must: (1) report fatalities, hospitalizations, amputations, and eye losses to OSHA; and (2) maintain records and respond to BLS surveys if selected.</t>
  </si>
  <si>
    <t>Confirm site headcount at all times during the calendar year. If the site ever exceeded 10 employees — even temporarily (seasonal peak, temp workers, project-based hiring) — the exemption does not apply for that year. Manufacturing facilities the size of NGC typically do not qualify.</t>
  </si>
  <si>
    <t>29 CFR 1904.1(a)(1)</t>
  </si>
  <si>
    <t>RK-28</t>
  </si>
  <si>
    <t>Establishments classified in a low-hazard industry listed in 29 CFR 1904 Subpart B Appendix A are partially exempt from routine OSHA recordkeeping. Low-hazard industries include retail, finance, insurance, real estate, and specific service industries. Gypsum manufacturing is NOT on the exempt list.</t>
  </si>
  <si>
    <t>Confirm this establishment's primary NAICS code with the site manager. Verify the NAICS code is not on the partially-exempt low-hazard industry list (Appendix A to 29 CFR 1904 Subpart B). Manufacturing operations like gypsum production are not exempt and must maintain full records.</t>
  </si>
  <si>
    <t>29 CFR 1904.2(a)(1); 1904.42</t>
  </si>
  <si>
    <t>POSTING REQUIREMENTS</t>
  </si>
  <si>
    <t>RK-29</t>
  </si>
  <si>
    <t>Posting Requirements</t>
  </si>
  <si>
    <t>The OSHA 'Job Safety and Health: It's the Law' poster (or the applicable State Plan equivalent) must be posted in a conspicuous place where notices to employees are customarily posted. The poster must not be defaced, destroyed, or covered. Reproductions and facsimiles are acceptable if at least 8.5 x 14 inches with 10-point print.</t>
  </si>
  <si>
    <t>Walk to the main employee bulletin board, break room, time clock area, and any other locations where notices are posted. Confirm the current federal or State Plan OSHA poster is displayed and legible. Note if it is an outdated version (compare the revision date). Free current copies are available at osha.gov.</t>
  </si>
  <si>
    <t>29 CFR 1903.2(a)(1)-(3)</t>
  </si>
  <si>
    <t>RK-30</t>
  </si>
  <si>
    <t>If an employer obtains copies of OSHA regulations or applicable standards, those copies must be made available for inspection and copying by any employee or authorized representative at the establishment where the employee is employed, on the same day a request is made.</t>
  </si>
  <si>
    <t>Ask the safety manager how an employee would access the applicable OSHA standards if they requested them today. Confirm a mechanism exists — whether a binder in the safety office, an intranet link, or printed copies — and that it is accessible to all employees without management approval.</t>
  </si>
  <si>
    <t>29 CFR 1903.2(c)</t>
  </si>
  <si>
    <t>POSTING OF CITATIONS &amp; ABATEMENT</t>
  </si>
  <si>
    <t>RK-31</t>
  </si>
  <si>
    <t>Posting of Citations &amp; Abatement</t>
  </si>
  <si>
    <t>Immediately upon receipt of any OSHA citation, the employer must post an unedited copy of the citation at or near each place where the alleged violation occurred. The citation must remain posted until the violation has been abated OR for 3 working days — whichever is longer. The citation must remain posted even while being contested.</t>
  </si>
  <si>
    <t>Ask whether any OSHA citations have been received in the past 3 years. If yes, confirm the site has documentation of posting (a log entry, photo, or supervisor attestation). Confirm the citation was not altered, defaced, or covered. If citations are currently open, confirm they are posted today.</t>
  </si>
  <si>
    <t>29 CFR 1903.16</t>
  </si>
  <si>
    <t>RK-32</t>
  </si>
  <si>
    <t>For serious, repeat, and willful violations involving movable equipment, the employer must attach a warning tag (or a copy of the citation) to the operating controls or cited component before the equipment moves within or between worksites. The tag must identify the nature of the violation and the location of the citation.</t>
  </si>
  <si>
    <t>If any citations involving movable equipment (forklifts, cranes, mobile equipment) have been received, confirm the tagging process was followed before the equipment was moved. If no movable equipment citations, mark Not Applicable.</t>
  </si>
  <si>
    <t>29 CFR 1903.19(i)</t>
  </si>
  <si>
    <t>RK-33</t>
  </si>
  <si>
    <t>Cited violations must be abated by the date set in the citation or as extended by OSHA. Within 10 calendar days after the abatement date, the employer must certify to OSHA in writing that each cited violation has been abated. For willful/repeat violations and serious violations requiring abatement documentation, the employer must also submit supporting evidence (photos, receipts, records).</t>
  </si>
  <si>
    <t>Request the abatement certification letters or submissions for any citations received. Confirm they were submitted within 10 calendar days of the abatement date. For any serious citations requiring documentation, confirm supporting evidence was included.</t>
  </si>
  <si>
    <t>29 CFR 1903.19(c)-(f)</t>
  </si>
  <si>
    <t>RK-34</t>
  </si>
  <si>
    <t>All required abatement submissions to OSHA must include: (1) employer name and address; (2) inspection number; (3) citation and item numbers; (4) a statement that the information is accurate; and (5) the employer's signature and authorized representative's signature.</t>
  </si>
  <si>
    <t>Review a sample abatement submission and confirm all five required elements are present. A submission missing any element is deficient and may result in a failure to abate finding.</t>
  </si>
  <si>
    <t>29 CFR 1903.19(h)</t>
  </si>
  <si>
    <t>RK-35</t>
  </si>
  <si>
    <t>The employer must inform affected employees and their representatives about all abatement activities by posting a copy (or summary) of each submission near the violation location for at least 3 working days. Employees must also be informed of their right to examine and copy abatement documents.</t>
  </si>
  <si>
    <t>Confirm that employee notification was completed for any cited violations. Ask the safety manager how employees were informed. Check for posting of abatement documents or meeting minutes referencing communication to affected employees.</t>
  </si>
  <si>
    <t>29 CFR 1903.19(g)</t>
  </si>
  <si>
    <t>STATE &amp; LOCAL REQUIREMENTS</t>
  </si>
  <si>
    <t>RK-36</t>
  </si>
  <si>
    <t>State &amp; Local Requirements</t>
  </si>
  <si>
    <t>Some states require employers to establish a written Injury and Illness Prevention Program (IIPP), maintain a safety committee, or meet other requirements that exceed federal OSHA. These requirements are typically found in the State Plan's own standards or in state workers' compensation rules.</t>
  </si>
  <si>
    <t>Identify the state in which this establishment is located and confirm whether the state operates under a State Plan (rather than federal OSHA). If yes, identify any state-specific requirements (e.g., California's IIPP under Title 8 CCR 3203, Washington's Accident Prevention Program, Michigan's MIOSHA requirements). Confirm those programs are documented and active.</t>
  </si>
  <si>
    <t>State/local regulations</t>
  </si>
  <si>
    <t>LOCKOUT / TAGOUT (LOTO) COMPLIANCE AUDIT</t>
  </si>
  <si>
    <t>29 CFR 1910.147 — The Control of Hazardous Energy. Prepared under attorney-client privilege.</t>
  </si>
  <si>
    <t>LO-1</t>
  </si>
  <si>
    <t>A written energy control program must be established and consist of three elements: (1) documented energy control procedures (ECPs) for each machine/equipment; (2) employee training specific to each role; and (3) periodic inspections of the ECPs at least annually.</t>
  </si>
  <si>
    <t>Request the written LOTO/energy control program document. Confirm it explicitly addresses all three required elements. Check the revision date — the program should reflect current equipment. Confirm it is readily accessible to authorized employees (not locked in a manager's office).</t>
  </si>
  <si>
    <t>29 CFR 1910.147(c)(1)-(c)(2)</t>
  </si>
  <si>
    <t>LO-2</t>
  </si>
  <si>
    <t>Energy Control Procedures (ECPs) must be developed, documented, and used for each machine/equipment with hazardous energy. Each ECP must address 5 required content areas per 29 CFR 1910.147(c)(4). See Evidence column checklist.</t>
  </si>
  <si>
    <t>Request a complete list of all machines/equipment requiring ECPs. Sample 10% (minimum 5). For each sampled ECP, verify all 5 required elements are present and evaluate against the actual machine on the floor:
□ (1)  Steps to shut down and de-energize the machine using the established stopping procedure
□ (2)  Steps for placement, removal, and transfer of lockout/tagout devices
□ (3)  Requirements for testing or positioning to verify isolation (the try-out test)
□ (4)  Type and magnitude of each energy source (electrical voltage, hydraulic PSI, pneumatic PSI, stored mechanical energy, thermal, gravity)
□ (5)  Methods for controlling each energy type (which valve to close, which disconnect to lock, which bleeder to open, how to block gravity-loaded parts)
Walk each sampled ECP to the actual machine: confirm every isolation point listed on the procedure exists on the equipment and is accessible. Flag any generic or copy-paste ECPs shared across multiple different machine types — these require correction.</t>
  </si>
  <si>
    <t>29 CFR 1910.147(c)(4)</t>
  </si>
  <si>
    <t>LO-3</t>
  </si>
  <si>
    <t>When a tagout device is used on an energy-isolating device that cannot be locked out, the tagout device must be attached at the same location where a lockout device would have been attached, if it were possible to do so.</t>
  </si>
  <si>
    <t>Walk 10% of the facility's energy-isolating devices (minimum 3 locations) that are identified as tagout-only. Confirm tags are attached directly to the energy-isolating device itself — not to adjacent piping, nearby conduit, or the machine body. Confirm the ECP documents why lockout is infeasible for each tagout-only application.</t>
  </si>
  <si>
    <t>29 CFR 1910.147(c)(3)(i)</t>
  </si>
  <si>
    <t>LO-4</t>
  </si>
  <si>
    <t>Where tagout is used in lieu of lockout, the employer must demonstrate that the tagout program will provide a level of safety equivalent to lockout. Equivalency is achieved by implementing additional safety measures such as: removing an isolating circuit element; blocking a controlling switch; opening an extra disconnecting device; or removing a valve handle.</t>
  </si>
  <si>
    <t>For each tagout-only application (from LO-3 sample): confirm the ECP documents at least one additional safety measure beyond just affixing a tag. Ask the authorized employee performing tagout to explain and demonstrate the additional measure. Tagout alone, without these supplemental measures, does not meet the equivalency standard.</t>
  </si>
  <si>
    <t>29 CFR 1910.147(c)(3)</t>
  </si>
  <si>
    <t>LO-5</t>
  </si>
  <si>
    <t>The employer must provide protective materials and hardware — including locks, tags, chains, wedges, key blocks, adapter pins, self-locking fasteners, and other hardware — as necessary to isolate, secure, or block machines or equipment from energy. This equipment must be provided at no cost to the employee.</t>
  </si>
  <si>
    <t>Physically inspect LOTO hardware stations (there should be at least one per work area). Confirm the station is stocked with sufficient locks, tags, hasps, and hardware for the number of authorized employees on the largest shift. Ask authorized employees whether they have ever been unable to obtain a LOTO device when needed. Confirm no employee purchases their own LOTO hardware.</t>
  </si>
  <si>
    <t>29 CFR 1910.147(c)(5)</t>
  </si>
  <si>
    <t>LO-6</t>
  </si>
  <si>
    <t>LOTO devices must meet four criteria: (1) Durable — capable of withstanding the environment and the use for which they are intended, including exposure to corrosive chemicals; tags must be able to withstand a 50-lb pullout force. (2) Standardized — same color, shape, or size within the facility, or at least the same print and format. (3) Substantial — locks must be substantial so they cannot be removed except by excessive force. (4) Identifiable — individually identified (unique to each authorized employee) and used exclusively for LOTO purposes — not for any other use.</t>
  </si>
  <si>
    <t>Inspect LOTO devices at 10% of LOTO hardware stations (minimum 2 stations). For each: confirm locks are individually keyed and assigned to one authorized employee; confirm tags bear a warning legend ('Do Not Start/Open/Energize') and the authorized employee's name; confirm the same color/style is used consistently throughout the facility; physically test a tag's attachment — it should require at least 50 lbs of force to remove. Ask whether any LOTO devices are used for non-energy-control purposes (e.g., tool storage locks).</t>
  </si>
  <si>
    <t>29 CFR 1910.147(c)(5)(ii)-(c)(5)(iii)</t>
  </si>
  <si>
    <t>LO-7</t>
  </si>
  <si>
    <t>At least annually, an authorized employee (other than the one using the procedure) must inspect each ECP in use and certify that the inspection was conducted. For lockout procedures, the inspection must include a review with each authorized employee of their responsibilities under the procedure. For tagout procedures, the inspection must include a review of tagout limitations in addition to the procedure review. The certification must document the machine/equipment, the date of inspection, the employees involved, and the inspector's name.</t>
  </si>
  <si>
    <t>Request annual ECP inspection records for 100% of the current calendar year (or the most recent 12 months). Confirm: (1) every ECP in active use has been inspected within the past 12 months; (2) the inspector is an authorized employee — not the person who normally uses that procedure; (3) the certification document identifies the machine, date, employees involved, and inspector. Note any ECPs with no inspection on file — this is among the most frequently cited LOTO deficiencies.</t>
  </si>
  <si>
    <t>29 CFR 1910.147(c)(6)(i)-(c)(6)(ii)</t>
  </si>
  <si>
    <t>LO-8</t>
  </si>
  <si>
    <t>Training must be provided to ensure all employees understand the purpose and function of the energy control program and have the knowledge and skills required for their role. Authorized employees must be trained on: (1) recognition of applicable hazardous energy sources; (2) type and magnitude of energy in the workplace; and (3) methods and means necessary for energy isolation and control. Affected employees must be trained on: (1) the purpose and use of the energy control procedure; and (2) the prohibition on restarting or re-energizing equipment under LOTO. Other employees who work in areas where LOTO is used must be trained on the prohibition and the purpose of LOTO.</t>
  </si>
  <si>
    <t>Request LOTO training records for 100% of authorized employees and a 10% sample of affected employees (minimum 3). Confirm: (1) initial training was completed before the employee performed LOTO; (2) training records identify which ECP(s) the employee is authorized on; (3) training covers the specific energy types at this facility. Interview 1-2 authorized employees: ask them to explain the type and magnitude of energy on one of their assigned machines, the order of lockout steps, and what they do at shift change if their lock must stay applied.</t>
  </si>
  <si>
    <t>29 CFR 1910.147(c)(7)(i)-(c)(7)(ii),(c)(7)(iv)</t>
  </si>
  <si>
    <t>LO-9</t>
  </si>
  <si>
    <t>Retraining must be provided when: (1) there is reason to believe the employee does not have the required knowledge or skills (e.g., following an incident or observed deviation); (2) there is a change in job assignments; (3) there is a change in machines, equipment, or processes that presents a new hazardous energy hazard; or (4) there is a change in the energy control procedures.</t>
  </si>
  <si>
    <t>Ask for a list of equipment additions or process changes in the past 12 months. Confirm retraining records exist for affected authorized employees when new equipment was introduced. Review any near-miss or LOTO incident reports — confirm retraining was completed as a corrective action. Sample 10% of new equipment commissioning records (minimum 1) to trace the ECP development and employee retraining.</t>
  </si>
  <si>
    <t>29 CFR 1910.147(c)(7)(iii)</t>
  </si>
  <si>
    <t>LO-10</t>
  </si>
  <si>
    <t>LOTO procedures must be performed only by the authorized employees who are performing the servicing or maintenance. Affected employees (operators) must not apply or remove lockout/tagout devices.</t>
  </si>
  <si>
    <t>Interview 10% of production operators (minimum 3). Ask: 'If you needed to clear a jam on your machine, who would apply the lockout?' The correct answer is a trained and authorized employee — not the operator themselves, unless the operator has also been designated as an authorized employee for that specific task. Review any documented cases where an operator was observed applying or removing a lock.</t>
  </si>
  <si>
    <t>29 CFR 1910.147(c)(8)</t>
  </si>
  <si>
    <t>LO-11</t>
  </si>
  <si>
    <t>Affected employees must be notified by the employer or the authorized employee both: (1) before a lockout or tagout device is applied; and (2) after the device is removed and before the machine is re-started.</t>
  </si>
  <si>
    <t>Interview 10% of affected employees (minimum 3). Ask: 'How are you told when a lock is being put on your machine? And when it's been removed?' Confirm the ECP or written program describes a specific notification method (departmental notification, physical communication, visual signal). Review any LOTO-related incident reports for cases where communication failed.</t>
  </si>
  <si>
    <t>29 CFR 1910.147(c)(9)</t>
  </si>
  <si>
    <t>LO-12</t>
  </si>
  <si>
    <t>When lockout/tagout devices must be temporarily removed from an energy-isolating device to test or position the machine, the following specific sequence must be followed: (1) Clear the machine of tools and materials; (2) remove employees from the machine area; (3) remove lockout/tagout devices; (4) energize and proceed with testing/positioning; (5) de-energize all systems; (6) reapply energy control measures before continuing servicing work.</t>
  </si>
  <si>
    <t>Ask the maintenance supervisor whether testing or repositioning during maintenance ever requires temporary re-energization (e.g., bump tests, valve positioning checks, alignment verification). If yes, request the ECP section covering this sequence and confirm all six steps are documented. Observe or interview an authorized employee to confirm they follow this specific order.</t>
  </si>
  <si>
    <t>29 CFR 1910.147(f)(1)</t>
  </si>
  <si>
    <t>LO-13</t>
  </si>
  <si>
    <t>When contractors or outside personnel engage in LOTO activities at this facility, the on-site employer and the outside employer must inform each other of their respective lockout/tagout procedures. The on-site employer must ensure that their own employees follow the outside employer's energy control procedures, or vice versa, so both are protected.</t>
  </si>
  <si>
    <t>Request the most recent contract or pre-job safety meeting documentation for a contractor that performed maintenance or servicing at this facility in the past year. Confirm the host shared its confined space LOTO requirements and the contractor shared its own procedures. Verify the two programs are compatible or that a coordination protocol exists. Sample 10% of contractor LOTO jobs from the past year (minimum 1).</t>
  </si>
  <si>
    <t>29 CFR 1910.147(f)(2)</t>
  </si>
  <si>
    <t>LO-14</t>
  </si>
  <si>
    <t>When a job requiring LOTO involves more than one authorized employee, each employee must have personal protection: either their own personal lock on the energy-isolating device or their own personal lock on a group lockout device (hasp or group lockout box). Each employee's personal lock must be removed only by that employee.</t>
  </si>
  <si>
    <t>Ask how group LOTO jobs are managed. Confirm a group lockout hasp or box is available and used for multi-person jobs. Walk through a multi-person job scenario with an authorized employee: confirm each person places their own lock and no one can re-energize the equipment until every personal lock has been individually removed by its owner.</t>
  </si>
  <si>
    <t>29 CFR 1910.147(f)(3)</t>
  </si>
  <si>
    <t>LO-15</t>
  </si>
  <si>
    <t>Procedures must be in place to ensure that LOTO protection is maintained during shift or personnel changes. The minimum protection method is: the incoming authorized employee applies their lock before the outgoing employee removes theirs — so the equipment is never left unprotected during the transition.</t>
  </si>
  <si>
    <t>Ask the safety manager and an authorized employee how shift-change LOTO transfers are handled. Confirm the written procedure requires the incoming employee's lock to be applied before the outgoing employee's lock is removed. Also confirm there is a documented procedure for emergency lock removal when an authorized employee is unavailable (e.g., leaves sick, terminated) — this must require approval by supervision and must not simply involve cutting the lock.</t>
  </si>
  <si>
    <t>29 CFR 1910.147(f)(4)</t>
  </si>
  <si>
    <t>APPLICATION AND RELEASE OF ENERGY CONTROLS</t>
  </si>
  <si>
    <t>LO-16</t>
  </si>
  <si>
    <t>Application and Release of Energy Controls</t>
  </si>
  <si>
    <t>All energy control applications must follow a documented 7-step sequence per 29 CFR 1910.147(d). ECPs that omit stored/residual energy steps are among the most commonly cited LOTO violations.</t>
  </si>
  <si>
    <t>Select 10% of active ECPs (minimum 3) that involve complex or multiple energy types. Walk each ECP to the actual machine with an authorized employee. Confirm the ECP includes all 7 steps in order:
□ (1)  Notify affected employees that the machine must be shut down and locked/tagged out
□ (2)  Identify the type and magnitude of energy and the hazards posed
□ (3)  Shut down and de-energize the machine using the established stopping procedure
□ (4)  Isolate the machine from each energy source using the energy-isolating device(s)
□ (5)  Apply lockout or tagout device(s) to each energy-isolating device
□ (6)  Release, restrain, or otherwise render safe all stored/residual energy (capacitor bleed-down; spring tension release; hydraulic/pneumatic bleed; blocking gravity-loaded parts; thermal cool-down)
□ (7)  Verify isolation is complete — attempt to start the machine (try-out test) or test with a meter BEFORE touching any part
Grade down significantly for any ECP that addresses only electrical isolation and omits stored/residual energy steps.</t>
  </si>
  <si>
    <t>29 CFR 1910.147(d)</t>
  </si>
  <si>
    <t>LO-17</t>
  </si>
  <si>
    <t>Before energy is restored and LOTO devices are removed, a documented 6-step sequence must be followed per 29 CFR 1910.147(e). An emergency lock removal procedure must also exist for situations where the authorized employee is unavailable.</t>
  </si>
  <si>
    <t>Review the energy release section of 10% of ECPs (minimum 3). Confirm the ECP includes all 6 steps in order:
□ (1)  Ensure work on the machine is complete
□ (2)  Ensure all tools, materials, and non-essential items are removed from the machine
□ (3)  Ensure all employees are safely positioned away from the machine
□ (4)  Notify affected employees that LOTO devices are being removed and energy will be restored
□ (5)  Remove each lockout/tagout device only by the authorized employee who applied it
□ (6)  Restore energy
Also confirm: a written emergency lock removal procedure exists for situations where the authorized employee has left the site. Ask the supervisor: 'What do you do if an employee goes home sick and leaves their lock on equipment?' — the answer must reference a written procedure requiring supervisor authorization (never simply cutting the lock without authorization).</t>
  </si>
  <si>
    <t>29 CFR 1910.147(e)</t>
  </si>
  <si>
    <t>EGRESS &amp; EMERGENCY ACTION COMPLIANCE AUDIT</t>
  </si>
  <si>
    <t>29 CFR 1910.36-39 — Exit Routes, Emergency Action Plans &amp; Fire Prevention Plans. Prepared under attorney-client privilege.</t>
  </si>
  <si>
    <t>EXIT ROUTE DESIGN &amp; CONSTRUCTION</t>
  </si>
  <si>
    <t>EG-1</t>
  </si>
  <si>
    <t>Exit Route Design &amp; Construction</t>
  </si>
  <si>
    <t>Exit routes must be permanent parts of the workplace. Each exit must be a permanent structural component — not a temporary door, movable partition, or makeshift opening — and must lead directly to a safe area outside the building.</t>
  </si>
  <si>
    <t>Walk 10% of identified exit routes (minimum 3). Confirm each exit is a permanent structural component. Look for any exits that route through a space that could be locked, occupied, or blocked during an emergency. Note any exit that depends on a door that could be locked from the other side.</t>
  </si>
  <si>
    <t>29 CFR 1910.36(a)(1)</t>
  </si>
  <si>
    <t>EG-2</t>
  </si>
  <si>
    <t>Each exit must be separated from other areas of the building by construction materials that have the required fire resistance ratings. Openings into an exit enclosure must be limited — only those necessary for occupant use.</t>
  </si>
  <si>
    <t>Walk exit stairwells and corridors. Confirm enclosing walls, ceilings, and floors have appropriate fire-resistance ratings. Look for holes, penetrations, or unsealed conduit openings in exit enclosure walls. Confirm doors into the exit enclosure are self-closing fire-rated doors (not propped open).</t>
  </si>
  <si>
    <t>29 CFR 1910.36(a)(2)-(a)(3)</t>
  </si>
  <si>
    <t>EG-3</t>
  </si>
  <si>
    <t>At least two exit routes must be available to permit prompt evacuation. Exception: one exit is acceptable if the number of employees, size, occupancy, or arrangement allows all employees to evacuate safely.</t>
  </si>
  <si>
    <t>Confirm the number of exit routes from each major work area. For multi-story buildings or areas with large employee populations, confirm at least two exits are available and that they are separated by sufficient distance so a single event cannot block both.</t>
  </si>
  <si>
    <t>29 CFR 1910.36(b)(1)-(b)(3)</t>
  </si>
  <si>
    <t>EG-4</t>
  </si>
  <si>
    <t>Each exit discharge must lead directly to the street, walkway, refuge area, public way, or other open space with room for evacuated employees. Exit stairs that continue below the exit discharge level must have barriers to prevent employees from accidentally continuing past the exit discharge level.</t>
  </si>
  <si>
    <t>Walk to the exterior discharge point of each sampled exit route. Confirm the discharge location is an open, unobstructed space large enough to accommodate building occupants. For multi-story exit stairs, confirm a barrier (door, gate, or signage) at the exit discharge level prevents employees from continuing to a lower level.</t>
  </si>
  <si>
    <t>29 CFR 1910.36(c)(1)-(c)(2); 1910.36(d)</t>
  </si>
  <si>
    <t>EG-5</t>
  </si>
  <si>
    <t>Exit doors must be unlocked and able to be freely opened from the inside at all times without a key, tool, special knowledge, or effort. Delayed-egress hardware (up to 15-second delay) is permitted only in specific limited applications and only where approved by the authority having jurisdiction.</t>
  </si>
  <si>
    <t>Test 10% of exit doors (minimum 3) during the audit. Push open the door from the inside without any key or special device — it must open freely. Confirm no padlocks, deadbolts, or keyed locks are installed on the interior side of exit doors. If delayed-egress hardware is present, confirm it is specifically approved for the application.</t>
  </si>
  <si>
    <t>29 CFR 1910.36(e)(1)-(e)(3)</t>
  </si>
  <si>
    <t>EG-6</t>
  </si>
  <si>
    <t>Exit doors must meet design requirements: side-hinged; open in the direction of exit travel for rooms with 50 or more occupants or hazardous areas; not be a sliding, revolving, or overhead door.</t>
  </si>
  <si>
    <t>Walk to 10% of exit doors (minimum 3). Confirm each is a side-hinged door. For any exit door serving a hazardous area or a room with 50+ occupants, confirm the door swings in the direction of travel (outward). Note any sliding or roll-up doors installed on exit routes.</t>
  </si>
  <si>
    <t>29 CFR 1910.36(e)(4)-(e)(6)</t>
  </si>
  <si>
    <t>EG-7</t>
  </si>
  <si>
    <t>Exit routes must have adequate capacity for all occupants. Exit route height must be at least 7 feet 6 inches (2.3 m) for the entire length. Width must be sufficient for the number of occupants served, but in no case less than 28 inches (71 cm). No locked room, device, or condition may reduce capacity below required levels.</t>
  </si>
  <si>
    <t>Walk 10% of exit corridors and stairways (minimum 3). Measure or estimate width — confirm no pinch points below 28 inches. Look for stored materials, equipment, or other obstructions that reduce width. Measure or estimate ceiling height — confirm clearance is at least 7 feet 6 inches throughout.</t>
  </si>
  <si>
    <t>29 CFR 1910.36(f)-(g)</t>
  </si>
  <si>
    <t>EXIT ROUTE MAINTENANCE &amp; MARKING</t>
  </si>
  <si>
    <t>EG-8</t>
  </si>
  <si>
    <t>Exit Route Maintenance &amp; Marking</t>
  </si>
  <si>
    <t>Exit routes must be kept free of explosive or highly flammable furnishings, decorations, or other materials. Safeguards against dangerous conditions must be maintained on exit routes.</t>
  </si>
  <si>
    <t>Walk all identified exit routes and observe: no flammable materials stored in corridors; no compressed gas cylinders, paint, solvents, or other hazardous materials blocking or lining the exit path; fire door closers and latches are functional.</t>
  </si>
  <si>
    <t>29 CFR 1910.37(a)(1)-(a)(3)</t>
  </si>
  <si>
    <t>EG-9</t>
  </si>
  <si>
    <t>Each exit and the path of travel to it must be adequately lit so employees can see along the exit route. Lighting must be sufficient for a person to see with normal vision.</t>
  </si>
  <si>
    <t>Walk exit routes during normal work hours. Confirm lighting is operational throughout each route, including any stairwells. Ask whether there is emergency backup lighting that activates on power failure — if so, confirm it is tested per the manufacturer's schedule.</t>
  </si>
  <si>
    <t>29 CFR 1910.37(b)(1)</t>
  </si>
  <si>
    <t>EG-10</t>
  </si>
  <si>
    <t>Each exit must be clearly marked by a visible sign with the word 'EXIT' in plainly legible letters not less than 6 inches high and 3/4 inch wide stroke. Any door, passageway, or stairway that could be mistaken for an exit must be marked 'NOT AN EXIT' or similar. Each exit route must be marked with signs posted along the route so employees always know the direction of exit travel.</t>
  </si>
  <si>
    <t>Walk all exit routes. Confirm: EXIT signs are posted at each exit door and at decision points along the route; signs are illuminated or self-luminescent; no burned-out exit signs; doors that could be mistaken for exits (supply rooms, storage) are clearly marked 'NOT AN EXIT.' Sample 10% of exit signs (minimum 5) and test illumination by covering the power source indicator.</t>
  </si>
  <si>
    <t>29 CFR 1910.37(b)(2)-(b)(5)</t>
  </si>
  <si>
    <t>EG-11</t>
  </si>
  <si>
    <t>Exit routes must be maintained during construction, repairs, or alterations. If an exit route is temporarily unavailable, an alternate exit must be available. The fire retardant properties of paint or coatings used in exit enclosures must be maintained.</t>
  </si>
  <si>
    <t>Ask whether any construction or renovation is currently ongoing. If yes, confirm alternate exit routes are in place and marked. Ask about any recent painting in exit stairwells — confirm fire-retardant paint was used where required.</t>
  </si>
  <si>
    <t>29 CFR 1910.37(c)-(d)</t>
  </si>
  <si>
    <t>EG-12</t>
  </si>
  <si>
    <t>An employee alarm system must be operable, audible throughout the building, and maintained. The alarm must provide enough warning time for employees to escape safely before conditions become hazardous.</t>
  </si>
  <si>
    <t>Ask for the most recent alarm system test record. Confirm the alarm was audible in all occupied areas (including high-noise production areas and restrooms). Confirm the alarm system is maintained per the manufacturer's schedule and NFPA 72 requirements. Walk to the farthest point in the building from an alarm device and assess audibility.</t>
  </si>
  <si>
    <t>29 CFR 1910.37(e)(1)-(e)(3)</t>
  </si>
  <si>
    <t>EMERGENCY ACTION PLANS</t>
  </si>
  <si>
    <t>EG-13</t>
  </si>
  <si>
    <t>Emergency Action Plans</t>
  </si>
  <si>
    <t>The employer must have a written Emergency Action Plan (EAP) whenever an OSHA standard requires one or whenever the employer must have an employee alarm system. The EAP must be kept in the workplace and available for employee review.</t>
  </si>
  <si>
    <t>Request the written EAP. Confirm it is current (review date within the past 12 months or after any significant change to building layout, occupancy, or hazards). Confirm it is physically accessible to all employees — not solely in an electronic system that may be unavailable during an emergency.</t>
  </si>
  <si>
    <t>29 CFR 1910.38(b)-(c)</t>
  </si>
  <si>
    <t>EG-14</t>
  </si>
  <si>
    <t>The EAP must contain all of the following required elements:
(1) Procedures for reporting a fire or other emergency
(2) Procedures for emergency evacuation, including type of evacuation and exit route assignments
(3) Procedures to be followed by employees who remain to operate critical plant operations before they evacuate
(4) Procedures to account for all employees after evacuation
(5) Procedures for employees performing rescue or medical duties
(6) The name or job title of every employee who may be contacted by employees who need more information about the plan or an explanation of their duties under the plan</t>
  </si>
  <si>
    <t>CHECKLIST — review the EAP against all 6 required elements. Mark each: Verified (present and complete), Partial, or Absent.
□ (1) Fire/emergency reporting procedures (who to call, how to activate alarm)
□ (2) Evacuation procedures with exit route map or assignments by area
□ (3) Procedures for critical operation employees who must stay until safe shutdown
□ (4) Employee accounting procedures after evacuation (headcount, assembly point, accountability method)
□ (5) Rescue and medical duty procedures and designated personnel
□ (6) Employee contact for questions about the plan (name and/or job title)
Pay particular attention to elements (4) and (6) — these are frequently incomplete or generic.</t>
  </si>
  <si>
    <t>29 CFR 1910.38(c)(1)-(c)(6)</t>
  </si>
  <si>
    <t>EG-15</t>
  </si>
  <si>
    <t>The employer must designate and train employees to assist in safe and orderly evacuation. Training must be provided at initial assignment, whenever the plan changes, and at least annually.</t>
  </si>
  <si>
    <t>Request training records for designated floor wardens or evacuation assistants. Confirm initial training before assignment and annual refresher. Interview a designated floor warden: ask what their responsibilities are during evacuation, how they account for employees in their area, and where the assembly point is. Confirm they know what to do if a special-needs employee requires assistance.</t>
  </si>
  <si>
    <t>29 CFR 1910.38(d)-(e)</t>
  </si>
  <si>
    <t>EG-16</t>
  </si>
  <si>
    <t>The employer must review the EAP with each employee at the following times: when the plan is developed or the employee is assigned initially; when the employee's responsibilities change; and when the plan changes.</t>
  </si>
  <si>
    <t>Request records showing EAP review with employees. Confirm the review method (drill, training session, orientation). Interview 10% of employees (minimum 5): ask where the nearest exit is from their workstation, where the assembly point is, and who their floor warden is. Gap between training content and employee knowledge is a finding.</t>
  </si>
  <si>
    <t>29 CFR 1910.38(f)</t>
  </si>
  <si>
    <t>FIRE PREVENTION PLANS</t>
  </si>
  <si>
    <t>EG-17</t>
  </si>
  <si>
    <t>Fire Prevention Plans</t>
  </si>
  <si>
    <t>Where an OSHA standard requires a Fire Prevention Plan (FPP), it must be in writing, kept in the workplace, and available for employee review. Exception: the employer may communicate the plan orally to employees if there are 10 or fewer employees.</t>
  </si>
  <si>
    <t>Confirm whether a Fire Prevention Plan is required by any OSHA standard applicable to this facility (e.g., flammable liquids, spray finishing). If required, request the written FPP. Confirm it is current and accessible.</t>
  </si>
  <si>
    <t>29 CFR 1910.39(b)-(c)</t>
  </si>
  <si>
    <t>EG-18</t>
  </si>
  <si>
    <t>The Fire Prevention Plan must contain: (1) a list of all major fire hazards, proper handling and storage procedures, potential ignition sources, and the type of fire protection equipment needed; (2) procedures to control accumulations of flammable and combustible waste materials; (3) procedures for regular maintenance of equipment designed to prevent or control sources of ignition or fires; (4) the name or job title of employees responsible for maintaining fire prevention equipment; (5) the name or job title of employees responsible for the control of fuel source hazards.</t>
  </si>
  <si>
    <t>CHECKLIST — review the FPP against all 5 required elements:
□ (1) Major fire hazards list with handling/storage procedures, ignition sources, and equipment type needed
□ (2) Procedures to control flammable/combustible waste accumulations
□ (3) Maintenance procedures for ignition-control equipment
□ (4) Named responsibility for fire prevention equipment maintenance
□ (5) Named responsibility for fuel source hazard control
For a gypsum manufacturing facility, the FPP should specifically address gypsum dust accumulation (combustible dust), fuel storage, and any natural gas or propane used in the drying process.</t>
  </si>
  <si>
    <t>29 CFR 1910.39(c)(1)-(c)(5)</t>
  </si>
  <si>
    <t>EG-19</t>
  </si>
  <si>
    <t>The employer must inform employees of the fire hazards of the materials and processes to which they are exposed, and review with each employee those parts of the FPP necessary for self-protection.</t>
  </si>
  <si>
    <t>Request evidence that fire hazard information has been communicated to employees (training records, new hire orientation content, toolbox talks). Interview 10% of employees (minimum 5) in areas with fire hazards: ask what fire hazards exist in their work area, what they would do if they discovered a fire, and whether they have been trained to use a fire extinguisher.</t>
  </si>
  <si>
    <t>29 CFR 1910.39(d)</t>
  </si>
  <si>
    <t>FIRE PROTECTION &amp; ALARMS COMPLIANCE AUDIT</t>
  </si>
  <si>
    <t>29 CFR 1910.157-165 — Fire Protection, Detection &amp; Employee Alarm Systems. Prepared under attorney-client privilege.</t>
  </si>
  <si>
    <t>PORTABLE FIRE EXTINGUISHERS</t>
  </si>
  <si>
    <t>FP-1</t>
  </si>
  <si>
    <t>Portable Fire Extinguishers</t>
  </si>
  <si>
    <t>Only approved portable fire extinguishers are permitted. Extinguishers must be mounted, located, and identified so they are readily accessible to employees without subjecting them to injury. Extinguishers must not be obstructed or obscured from view.</t>
  </si>
  <si>
    <t>Walk 10% of fire extinguisher locations (minimum 10). For each: confirm the extinguisher is mounted in its designated location (not sitting on the floor); the mounting location is clearly marked; there are no obstructions blocking access; the unit is visible without needing to move materials. Note any locations where the extinguisher has been removed or the location is unoccupied.</t>
  </si>
  <si>
    <t>29 CFR 1910.157(c)(1)</t>
  </si>
  <si>
    <t>FP-2</t>
  </si>
  <si>
    <t>Portable fire extinguishers must be maintained in a fully charged, operable condition and kept in their designated locations. Monthly visual inspections and annual maintenance checks by a licensed service provider are required.</t>
  </si>
  <si>
    <t>Inspect 10% of extinguishers (minimum 10). Confirm: the monthly inspection tag has been initialed within the last 30 days; the pressure gauge needle is in the green zone; the pull pin is intact with the tamper seal; there is no visible physical damage, corrosion, or nozzle clogging; the annual service tag shows service within the past 12 months. Ask to see the extinguisher service records for the past 12 months.</t>
  </si>
  <si>
    <t>29 CFR 1910.157(e)(1)-(e)(4)</t>
  </si>
  <si>
    <t>FP-3</t>
  </si>
  <si>
    <t>Hydrostatic testing of portable extinguishers is required at intervals depending on extinguisher type: stored-pressure dry chemical = 12 years; CO2 = 5 years; pressurized water = 5 years; Halon = 12 years. Cylinders that fail testing must be condemned.</t>
  </si>
  <si>
    <t>Review the hydrostatic test records for 10% of extinguishers (minimum 5). Confirm test dates are within the required intervals for the extinguisher type. Confirm test records are retained. Note any extinguishers whose hydrostatic test date cannot be determined from the shell markings.</t>
  </si>
  <si>
    <t>29 CFR 1910.157(f)(1)-(f)(16)</t>
  </si>
  <si>
    <t>FP-4</t>
  </si>
  <si>
    <t>Employees who are expected to use portable fire extinguishers must be trained at the time of initial assignment and annually thereafter. The training must cover the general principles of fire extinguisher use and the hazards involved with incipient stage firefighting.</t>
  </si>
  <si>
    <t>Request training records for 10% of employees in areas with fire extinguishers where employees are expected to use them (minimum 10 employees). Confirm initial training and annual retraining. Interview 10% of those employees (minimum 3): ask them to identify the type of extinguisher in their area, the classes of fire it covers, and how to operate it (PASS: Pull, Aim, Squeeze, Sweep). Note: if the employer's policy is that employees evacuate and do not fight fires, confirm that policy is documented and employees know it.</t>
  </si>
  <si>
    <t>29 CFR 1910.157(g)(1)-(g)(2)</t>
  </si>
  <si>
    <t>AUTOMATIC SPRINKLER SYSTEMS</t>
  </si>
  <si>
    <t>FP-5</t>
  </si>
  <si>
    <t>Automatic Sprinkler Systems</t>
  </si>
  <si>
    <t>Automatic sprinkler systems must be designed and installed using good engineering practices. Design and installation must be in accordance with NFPA 13 (Standard for the Installation of Sprinkler Systems) or another nationally recognized standard.</t>
  </si>
  <si>
    <t>Confirm whether automatic sprinkler systems are installed. If yes, request the most recent inspection/test report from a licensed sprinkler contractor. Confirm the system was designed and installed in accordance with NFPA 13. Ask for the original acceptance test documentation if available.</t>
  </si>
  <si>
    <t>29 CFR 1910.159(b)(1)-(b)(2)</t>
  </si>
  <si>
    <t>FP-6</t>
  </si>
  <si>
    <t>Automatic sprinkler systems must be properly maintained and undergo regular acceptance testing. At a minimum: quarterly inspections of control valves; annual inspection of the complete system; 5-year internal pipe inspection; trip test of dry and pre-action systems annually.</t>
  </si>
  <si>
    <t>Request the sprinkler system inspection and testing records for the past 12 months. Confirm quarterly control valve inspections, annual full system inspection, and that the system has not had any extended impairments without an approved fire watch. Confirm all deficiencies identified during inspections have been corrected.</t>
  </si>
  <si>
    <t>29 CFR 1910.159(b)(3)</t>
  </si>
  <si>
    <t>FP-7</t>
  </si>
  <si>
    <t>Automatic sprinkler systems with more than 20 sprinklers must have a local waterflow alarm that sounds when the system activates. The alarm must be maintained in operating condition.</t>
  </si>
  <si>
    <t>Confirm a waterflow alarm exists and is operational. Request the most recent alarm test record. Confirm the alarm is audible in occupied areas. For systems connected to a monitoring service, confirm the monitoring contract and most recent communication test.</t>
  </si>
  <si>
    <t>29 CFR 1910.159(c)(1)</t>
  </si>
  <si>
    <t>FP-8</t>
  </si>
  <si>
    <t>Sprinkler spacing, placement, and clearance must ensure full coverage. A minimum 18-inch (46 cm) clearance must be maintained between the top of storage and sprinkler deflectors to ensure proper spray pattern distribution.</t>
  </si>
  <si>
    <t>Walk 10% of storage areas, racking systems, and production areas with sprinkler coverage (minimum 5 areas). For each: measure or estimate clearance between the top of the highest stored material and the sprinkler deflector. Confirm it meets the 18-inch minimum. Note any racking reconfigurations or storage height increases that may have been made since the sprinkler system was designed.</t>
  </si>
  <si>
    <t>29 CFR 1910.159(c)(10)</t>
  </si>
  <si>
    <t>FIRE DETECTION SYSTEMS</t>
  </si>
  <si>
    <t>FP-9</t>
  </si>
  <si>
    <t>Fire Detection Systems</t>
  </si>
  <si>
    <t>Fire detection systems and all components must be approved. Systems must be restored to normal operating condition as quickly as possible after each test or alarm.</t>
  </si>
  <si>
    <t>Confirm the fire detection system (smoke detectors, heat detectors, manual pull stations) is a listed/approved system. Request documentation of the most recent system test. Confirm that following any alarm or test, the system was restored to full operation promptly.</t>
  </si>
  <si>
    <t>29 CFR 1910.164(a)-(b)</t>
  </si>
  <si>
    <t>FP-10</t>
  </si>
  <si>
    <t>Fire detectors must be maintained, tested, and adjusted regularly to ensure proper operation. Test schedules must follow the manufacturer's recommendations and NFPA 72 requirements. Detectors that fail testing must be repaired or replaced immediately.</t>
  </si>
  <si>
    <t>Request the fire detection system inspection and test records for the past 12 months. Confirm testing was conducted by a qualified contractor per NFPA 72: smoke detectors tested annually; heat detectors tested per the schedule; manual pull stations tested at least annually. Confirm all failed detectors were replaced before the system was returned to service.</t>
  </si>
  <si>
    <t>29 CFR 1910.164(c)-(e)</t>
  </si>
  <si>
    <t>FP-11</t>
  </si>
  <si>
    <t>Fire detection systems must be protected from corrosive atmospheres, mechanical damage, and environmental conditions that could cause false alarms or system failure. The number, locations, and spacing of detectors must be based on engineering principles and the manufacturer's specifications.</t>
  </si>
  <si>
    <t>Walk 10% of detector locations (minimum 10 devices). For each: confirm the detector is not painted over, covered, or physically damaged; confirm it is located within the manufacturer's coverage area (not too far from the nearest detector, not in a location with airflow that could prevent smoke from reaching it). Check whether gypsum dust accumulation is addressed — dusty environments can desensitize smoke detectors.</t>
  </si>
  <si>
    <t>29 CFR 1910.164(d)-(f)</t>
  </si>
  <si>
    <t>EMPLOYEE ALARM SYSTEMS</t>
  </si>
  <si>
    <t>FP-12</t>
  </si>
  <si>
    <t>Employee Alarm Systems</t>
  </si>
  <si>
    <t>Employee alarm systems must be capable of providing sufficient warning to permit all employees to safely evacuate the building before conditions become hazardous. The alarm must be distinctive from all other sounds in the facility.</t>
  </si>
  <si>
    <t>Test the alarm system audibility at 10% of occupied locations (minimum 5 locations), including high-noise production areas, restrooms, and break rooms. Confirm the alarm is clearly distinguishable from production noise, PA announcements, and other operational sounds. Note any dead zones. Ask how employees in hearing protection are notified — confirm a visual (strobe) alarm is provided in high-noise areas.</t>
  </si>
  <si>
    <t>29 CFR 1910.165(b)(1)-(b)(2)</t>
  </si>
  <si>
    <t>FP-13</t>
  </si>
  <si>
    <t>Employee alarm systems must be properly installed and restored to normal operating condition as quickly as possible after each use. The system must be in continuous operation except during repair or maintenance.</t>
  </si>
  <si>
    <t>Request the alarm system installation and commissioning documentation. Confirm the system is currently operational. Ask the maintenance manager the most recent date the system was fully operational (any extended outages are a finding). Confirm an impairment procedure exists for planned outages (fire watch, backup notification system).</t>
  </si>
  <si>
    <t>29 CFR 1910.165(b)(3)-(b)(4)</t>
  </si>
  <si>
    <t>FP-14</t>
  </si>
  <si>
    <t>Employee alarm systems must be maintained and tested properly. All components must be kept in operating condition except when undergoing maintenance. The employer must establish procedures for testing the alarm and must test the system at least quarterly.</t>
  </si>
  <si>
    <t>Request quarterly alarm test records for the past 12 months (minimum 4 test records). Confirm tests were conducted and results documented. Ask who is responsible for conducting the quarterly tests and maintaining the records. Confirm failed components were repaired before the system was returned to service.</t>
  </si>
  <si>
    <t>29 CFR 1910.165(d)(1)-(d)(2)</t>
  </si>
  <si>
    <t>FP-15</t>
  </si>
  <si>
    <t>Manually operated actuation devices for employee alarm systems must be unobstructed, conspicuous, and readily accessible.</t>
  </si>
  <si>
    <t>Walk to 10% of manual pull stations (minimum 5). For each: confirm the pull station is clearly marked; there are no storage items, equipment, or other materials blocking access; the pull station is at the required mounting height (generally 3.5-5 feet from floor to handle). Note any pull stations that have been painted over or that are difficult to reach.</t>
  </si>
  <si>
    <t>29 CFR 1910.165(e)(1)-(e)(3)</t>
  </si>
  <si>
    <t>STANDPIPE &amp; HOSE SYSTEMS</t>
  </si>
  <si>
    <t>FP-16</t>
  </si>
  <si>
    <t>Standpipe &amp; Hose Systems</t>
  </si>
  <si>
    <t>Where standpipe and hose systems are installed, they must be: properly located with hose connections readily accessible; designed and installed to facilitate prompt use; equipped with hoses and nozzles that are tested and maintained; connected to an adequate water supply.</t>
  </si>
  <si>
    <t>If standpipe systems are present: request the most recent inspection records. Confirm hose stations are accessible and the cabinets are not locked or blocked. Inspect 10% of hose stations (minimum 3): check that the hose is properly folded or racked, the nozzle is attached, the valve handle is present, and the hose is not deteriorated or cracked.</t>
  </si>
  <si>
    <t>29 CFR 1910.158(b)-(d)</t>
  </si>
  <si>
    <t>STATE &amp; LOCAL FIRE REQUIREMENTS</t>
  </si>
  <si>
    <t>FP-17</t>
  </si>
  <si>
    <t>State &amp; Local Fire Requirements</t>
  </si>
  <si>
    <t>States and local jurisdictions often adopt fire codes (NFPA 1, IFC, state-specific codes) that are more stringent than federal OSHA requirements. The site must meet applicable state and local fire marshal requirements, including hot work permits, impairment procedures, and occupancy-specific requirements.</t>
  </si>
  <si>
    <t>Identify applicable state and local fire codes for this jurisdiction. Confirm the site's last fire marshal inspection and any outstanding violations or abatement items. If a hot work permit program is required, confirm it is in place and actively used. Ask whether any fire protection system impairments have occurred in the past 12 months and confirm a fire watch was conducted.</t>
  </si>
  <si>
    <t>State/local fire codes</t>
  </si>
  <si>
    <t>MACHINE GUARDING COMPLIANCE AUDIT</t>
  </si>
  <si>
    <t>29 CFR 1910.212-217 — Machinery and Machine Guarding. Prepared under attorney-client privilege.</t>
  </si>
  <si>
    <t>GENERAL MACHINE GUARDING REQUIREMENTS</t>
  </si>
  <si>
    <t>MG-1</t>
  </si>
  <si>
    <t>General Machine Guarding Requirements</t>
  </si>
  <si>
    <t>Machine guards must be provided to protect persons in the machine area from hazards created by point of operation, ingoing nip points, rotating parts, flying chips, and sparks. Guards must be affixed to the machine where possible and secured to prevent displacement during operations.</t>
  </si>
  <si>
    <t>Walk 10% of production and maintenance equipment (minimum 10 machines). For each machine: (1) identify all hazard points — point of operation, nip points, rotating shafts/couplings, fan blades, belt/pulley assemblies; (2) confirm a guard is in place for each hazard; (3) attempt to displace the guard by hand — it should require a tool to remove; (4) confirm the guard does not create a new hazard (sharp edges, pinch points from the guard itself). Document any machine operating without a required guard.</t>
  </si>
  <si>
    <t>29 CFR 1910.212(a)(1)-(a)(2)</t>
  </si>
  <si>
    <t>MG-2</t>
  </si>
  <si>
    <t>Points of operation that expose an employee to injury from rotating, reciprocating, transverse, or cutting actions must be guarded. The guarding device must prevent the operator's hands, arms, or other body parts from making contact with the danger zone during the operating cycle.</t>
  </si>
  <si>
    <t>For each production machine in the sample (10%, minimum 10): specifically identify the point of operation — the area where work is actually performed on the material. Confirm the point-of-operation guard prevents an operator from reaching into the danger zone during the operating cycle. Test by attempting to insert your hand toward the danger zone with the guard in place (machine off/locked out) — a proper guard prevents access.</t>
  </si>
  <si>
    <t>29 CFR 1910.212(a)(3)(ii),(a)(3)(iv)</t>
  </si>
  <si>
    <t>MG-3</t>
  </si>
  <si>
    <t>Special hand tools used to place or remove material from a point of operation must be designed to handle material safely, and must not be used in place of proper guarding. The tools must allow the safe placement and removal of materials without the operator placing their hands into the point of operation.</t>
  </si>
  <si>
    <t>If special hand tools (push sticks, holding fixtures, feeding devices) are used at any machines in the sample: confirm the tools are dedicated to the machine and appropriate for the task. Confirm no operator is using makeshift tools (scrap lumber, pliers, tape) in place of proper tooling. Confirm the use of hand tools does not replace a required guard — guards and tools are not mutually exclusive.</t>
  </si>
  <si>
    <t>29 CFR 1910.212(a)(3)(iii)</t>
  </si>
  <si>
    <t>MG-4</t>
  </si>
  <si>
    <t>Revolving drums, barrels, and containers that are used as part of a production process must be guarded by an enclosure that interlocks with the drive mechanism so the drive is disengaged when the guard is opened.</t>
  </si>
  <si>
    <t>If the facility has revolving drums, barrels, or containers (common in mixing, blending, or coating operations): confirm each has an enclosing guard and confirm the interlock prevents operation when the guard is open. Test the interlock with the machine off and locked out — confirm the interlock mechanism is functional and not bypassed.</t>
  </si>
  <si>
    <t>29 CFR 1910.212(a)(4)</t>
  </si>
  <si>
    <t>MG-5</t>
  </si>
  <si>
    <t>Fan blades must be guarded by a guard with openings no larger than 1/2 inch (1.3 cm) where the periphery of the fan is less than 7 feet from the floor or working level.</t>
  </si>
  <si>
    <t>Walk to 10% of fans and ventilation units where the fan periphery is accessible below 7 feet (minimum 5 units). Confirm a guard is in place and that the guard openings do not exceed 1/2 inch. Fans mounted above 7 feet do not require guarding — confirm the measurement if there is any question.</t>
  </si>
  <si>
    <t>29 CFR 1910.212(a)(5)</t>
  </si>
  <si>
    <t>MG-6</t>
  </si>
  <si>
    <t>Machines designed for a fixed location must be securely anchored to prevent movement that could cause a hazard to the operator or others. Unsecured machines that could tip or shift during operation must be anchored or braced.</t>
  </si>
  <si>
    <t>Walk to 10% of fixed production and maintenance machines (minimum 5 machines). Confirm each is anchored to the floor or permanently mounted. Shake or push each machine by hand to assess stability. Pay particular attention to grinders, drill presses, and other equipment with significant vibration — these are prone to walking if not anchored.</t>
  </si>
  <si>
    <t>29 CFR 1910.212(b)</t>
  </si>
  <si>
    <t>ABRASIVE WHEEL MACHINERY</t>
  </si>
  <si>
    <t>MG-7</t>
  </si>
  <si>
    <t>Abrasive Wheel Machinery</t>
  </si>
  <si>
    <t>Abrasive wheel safety guards must be used on all bench and pedestal grinders. Guards must be designed and sized to retain fragments in case of wheel breakage and must meet ANSI B7.1 design specifications.</t>
  </si>
  <si>
    <t>Inspect 100% of bench and pedestal grinders at the facility. For each: confirm a wheel guard is installed; the guard covers the wheel to the required exposure angles (no more than 90 degrees for bench grinders positioned above center, no more than 180 degrees for grinders positioned on the horizontal centerline); the guard is firmly attached and cannot be easily displaced.</t>
  </si>
  <si>
    <t>29 CFR 1910.215(a)(1)-(a)(2),(b)(1)-(b)(14)</t>
  </si>
  <si>
    <t>MG-8</t>
  </si>
  <si>
    <t>A work rest must be used to support the work on bench and pedestal grinders. The work rest must be: rigidly mounted; adjustable; kept adjusted to within 1/8 inch (3.2 mm) of the wheel; and positioned so the work piece cannot be drawn between the rest and the wheel.</t>
  </si>
  <si>
    <t>For each bench and pedestal grinder: confirm the work rest is present, rigid, and adjustable. Measure the gap between the work rest and the wheel — it must not exceed 1/8 inch (3.2 mm). Demonstrate or ask an employee to demonstrate how the work rest is readjusted as the wheel wears down.</t>
  </si>
  <si>
    <t>29 CFR 1910.215(a)(4)</t>
  </si>
  <si>
    <t>MG-9</t>
  </si>
  <si>
    <t>All abrasive wheels must be closely inspected and ring-tested ('sounded') immediately before mounting to detect cracks. A cracked wheel has a dull thud rather than a clear metallic ring when tapped. Cracked wheels must not be used.</t>
  </si>
  <si>
    <t>Ask the person responsible for changing grinding wheels to demonstrate the ring test procedure. Confirm: the wheel is supported through the hole (not laying flat); it is tapped 1-2 inches from the edge at two points 45 degrees apart on each side; a cracked wheel emits a dull thud, not a clear ring. Ask when they last found and discarded a cracked wheel — a 'never' answer warrants a closer look at the inspection program.</t>
  </si>
  <si>
    <t>29 CFR 1910.215(d)(1)</t>
  </si>
  <si>
    <t>MG-10</t>
  </si>
  <si>
    <t>Grinding wheels must fit freely on the spindle and remain free under all grinding conditions. The spindle speed of the machine must not exceed the maximum operating speed (RPM) marked on the wheel. Flanges must be the correct size for the wheel and must be maintained in good condition.</t>
  </si>
  <si>
    <t>For 10% of grinding wheels in use (minimum 3): confirm the maximum RPM marked on the wheel is equal to or greater than the maximum spindle speed of the machine it is mounted on. Confirm the flanges are the correct type and are not damaged. Confirm blotter pads (compressible washers) are installed between the flanges and the wheel where required.</t>
  </si>
  <si>
    <t>29 CFR 1910.215(c)(1)-(c)(9),(d)(3)-(d)(4)</t>
  </si>
  <si>
    <t>MECHANICAL POWER PRESSES</t>
  </si>
  <si>
    <t>MG-11</t>
  </si>
  <si>
    <t>Mechanical Power Presses</t>
  </si>
  <si>
    <t>The facility must provide and ensure that point-of-operation guards or devices protect operators of mechanical power presses from injury. The guard or device must prevent the operator from placing hands in the point-of-operation danger zone during the press operating cycle.</t>
  </si>
  <si>
    <t>If mechanical power presses are used: inspect 100% of power presses. For each: confirm a point-of-operation guard or safety device is present and operational. Acceptable devices include: barrier guards, two-hand controls, presence-sensing devices, pull-out devices, hold-out devices, or gates. Confirm the device is adjusted to the specific tooling in use — a guard adjusted for one die size may be inadequate when the tooling is changed.</t>
  </si>
  <si>
    <t>29 CFR 1910.217(c)(1)-(c)(6)</t>
  </si>
  <si>
    <t>MG-12</t>
  </si>
  <si>
    <t>Mechanical power presses must have adequate machine safeguards on all controls. Foot pedals must be guarded to prevent accidental operation. Two-hand trip mechanisms and two-hand controls must require concurrent activation and must prevent one-hand bypassing.</t>
  </si>
  <si>
    <t>For each power press: test foot pedal guards by attempting to trip the press with your foot from outside the normal operating position — the guard should prevent inadvertent activation. For two-hand controls: verify both buttons must be activated simultaneously (within 0.5 seconds of each other); attempt to activate with one hand and then use that elbow or body to hold one button while reaching into the die area — the control should not permit this.</t>
  </si>
  <si>
    <t>29 CFR 1910.217(b)(6),(b)(7)-(b)(9)</t>
  </si>
  <si>
    <t>ELECTRICAL SAFETY COMPLIANCE AUDIT</t>
  </si>
  <si>
    <t>29 CFR 1910.303-335 — Electrical Safety Standards. Prepared under attorney-client privilege.</t>
  </si>
  <si>
    <t>GENERAL ELECTRICAL REQUIREMENTS</t>
  </si>
  <si>
    <t>EL-1</t>
  </si>
  <si>
    <t>General Electrical Requirements</t>
  </si>
  <si>
    <t>All electrical equipment must be approved (listed, labeled, or certified by a nationally recognized testing laboratory — NRTL — such as UL, CSA, or FM). Equipment must be installed and used in accordance with any instructions included in the listing or labeling.</t>
  </si>
  <si>
    <t>Walk 10% of electrical panels, motor control centers, and electrical equipment areas (minimum 5 locations). For each piece of equipment: confirm NRTL listing markings (UL, CSA, FM, or other recognized labels) are present on the equipment nameplate. Note any field-fabricated electrical equipment (homemade control boxes, modified panels) that lacks a listing — these require engineering review.</t>
  </si>
  <si>
    <t>29 CFR 1910.303(a)-(b)</t>
  </si>
  <si>
    <t>EL-2</t>
  </si>
  <si>
    <t>Adequate working space must be maintained around all electrical equipment: minimum 3 feet deep for equipment up to 600V; additional space for higher voltages. Working space must not be used for storage. Equipment must be accessible for maintenance and operation without removing obstructions.</t>
  </si>
  <si>
    <t>Walk to 10% of electrical panels, switchboards, and motor control centers (minimum 10 panels). For each: confirm the required 3-foot working space in front of the panel is clear (not used as storage); the area is wide enough to allow the panel door to open 90 degrees; no permanent or temporary storage is present in the working space. Measure the depth from the panel door to any obstruction — must be 3 feet minimum for ≤600V.</t>
  </si>
  <si>
    <t>29 CFR 1910.303(g)(1)-(g)(2)</t>
  </si>
  <si>
    <t>EL-3</t>
  </si>
  <si>
    <t>Live parts operating at 50 volts or more must be guarded against accidental contact. Guarding methods include: location in a room or vault accessible only to qualified persons; permanent substantial partitions or screens; location on a suitable balcony or gallery; elevation of 8 feet or more above the floor.</t>
  </si>
  <si>
    <t>Walk 10% of electrical equipment areas (minimum 5). For each: confirm all live parts (bus bars, terminals, wiring connections) are enclosed or guarded. Look for open knockouts in panels, missing covers on junction boxes, or disconnected conduit leaving conductors exposed. Test 100% of panel covers — confirm all are latched and in place.</t>
  </si>
  <si>
    <t>29 CFR 1910.303(h)(1)-(h)(3)</t>
  </si>
  <si>
    <t>EL-4</t>
  </si>
  <si>
    <t>Breaker panels and electrical enclosures must be labeled to indicate the purpose or equipment controlled by each circuit. Labels must be legible, durable, and correct.</t>
  </si>
  <si>
    <t>Open 10% of electrical panels (minimum 5). For each: confirm every breaker is labeled with the circuit it controls (not blank, not unreadable pencil markings, not outdated). Test a sample of labels by turning off a breaker and confirming the equipment identified in the label actually de-energizes. Unlabeled breakers are a finding and a safety risk — workers may need to de-energize equipment in an emergency.</t>
  </si>
  <si>
    <t>29 CFR 1910.303(e)</t>
  </si>
  <si>
    <t>GROUND FAULT PROTECTION &amp; GROUNDING</t>
  </si>
  <si>
    <t>EL-5</t>
  </si>
  <si>
    <t>Ground Fault Protection &amp; Grounding</t>
  </si>
  <si>
    <t>Ground fault circuit interrupters (GFCIs) must be used for personnel protection in specific locations: (1) all 120V single-phase 15A and 20A receptacle outlets in wet locations, construction areas, and outdoor receptacles; (2) temporary wiring on construction sites; (3) receptacles in bathrooms, kitchens, near sinks, and other wet areas.</t>
  </si>
  <si>
    <t>Walk to 10% of wet locations, outdoor outlets, and construction/maintenance areas (minimum 5 locations). Press the TEST button on each GFCI outlet or circuit breaker GFCI: the reset button should pop out or the breaker should trip. Then press RESET to restore power. Confirm GFCI protection is present on all outdoor receptacles and any receptacles within 6 feet of water sources (sinks, floor drains, hose connections). Note any non-GFCI outlets in required locations.</t>
  </si>
  <si>
    <t>29 CFR 1910.304(b)(3)(i)-(b)(3)(ii)</t>
  </si>
  <si>
    <t>EL-6</t>
  </si>
  <si>
    <t>All electrical equipment must be properly grounded. Cord and plug connected equipment must be grounded through a grounding prong in the attachment plug. Fixed equipment must be grounded through the equipment grounding conductor in the supply circuit. Metal raceways, cable trays, and enclosures must be continuously and effectively grounded.</t>
  </si>
  <si>
    <t>Inspect 10% of portable power tools and extension cords (minimum 10 items). Confirm: three-prong plugs are intact (grounding prong not removed or bent); no two-prong adapters ('cheater plugs') are in use; the ground prong has not been cut or taped. For 10% of fixed equipment (minimum 5 machines): confirm the grounding conductor is connected at both the equipment and the panel.</t>
  </si>
  <si>
    <t>29 CFR 1910.304(g)(1)-(g)(7)</t>
  </si>
  <si>
    <t>EL-7</t>
  </si>
  <si>
    <t>Flexible cords and cables must be used only in permitted applications. Flexible cords must NOT be used: as a substitute for fixed wiring; run through holes in walls, ceilings, or floors; run through doorways, windows, or similar openings; attached to building surfaces; concealed behind building walls, ceilings, or floors.</t>
  </si>
  <si>
    <t>Walk 10% of production, maintenance, and office areas (minimum 5 areas). Look specifically for: extension cords used as permanent wiring (plugged in and in continuous use for months or years); cords run through walls, under carpets, or through ceiling tiles; cords attached to building surfaces with staples, cable clips, or adhesive mounts; daisy-chained extension cords or power strips connected to other power strips. Each of these conditions is a finding.</t>
  </si>
  <si>
    <t>29 CFR 1910.305(g)(1)(ii)-(g)(1)(iii),(g)(1)(v)</t>
  </si>
  <si>
    <t>EL-8</t>
  </si>
  <si>
    <t>Extension cords in use must be maintained in safe condition. Damaged cords must be immediately removed from service. Cords must be rated for the load they serve and must not be overloaded.</t>
  </si>
  <si>
    <t>Inspect 10% of extension cords in use (minimum 10 cords). For each: confirm no cuts, cracks, abraded insulation, or exposed conductors; all connectors are intact (no taped or makeshift repairs); the cord gauge (AWG) is appropriate for the load (a 16 AWG cord should not serve a high-draw tool). Any cord with damaged insulation or a makeshift repair must be removed from service immediately.</t>
  </si>
  <si>
    <t>29 CFR 1910.305(g)(2)(iii)-(g)(2)(iv)</t>
  </si>
  <si>
    <t>WIRING METHODS &amp; PANEL REQUIREMENTS</t>
  </si>
  <si>
    <t>EL-9</t>
  </si>
  <si>
    <t>Wiring Methods &amp; Panel Requirements</t>
  </si>
  <si>
    <t>All junction boxes, outlet boxes, device boxes, and fittings must have approved covers. Open knockouts in boxes must be closed with appropriate fittings. No open spaces in electrical enclosures are permitted.</t>
  </si>
  <si>
    <t>Walk 10% of electrical areas (minimum 5 areas) focusing specifically on junction boxes, conduit junction points, and panel knockouts. Confirm: all boxes have covers installed; open knockouts are closed; no wire bundles are entering panels or junction boxes without conduit or appropriate fittings; no gaping holes exist in electrical enclosures. Look specifically at conduit runs near areas subject to vibration — these are prone to fittings loosening.</t>
  </si>
  <si>
    <t>29 CFR 1910.305(b)(1)-(b)(2)</t>
  </si>
  <si>
    <t>EL-10</t>
  </si>
  <si>
    <t>Switchboards and panelboards must be located in clean, dry locations. The area must be free of easily ignitible material. Working space in front of panels must be kept clear. Panelboards must have a secured door or cover over the live parts.</t>
  </si>
  <si>
    <t>Walk to 10% of panelboard locations (minimum 5). Confirm: the panel is in a clean, dry location (not a janitorial closet, not in a wet process area without appropriate enclosure rating); no combustible materials (cardboard boxes, rags, cleaning supplies) are stored adjacent to or inside the panel area; the panel door is present, closes properly, and can be latched.</t>
  </si>
  <si>
    <t>29 CFR 1910.305(h)(1)-(h)(2)</t>
  </si>
  <si>
    <t>EL-11</t>
  </si>
  <si>
    <t>Overcurrent protection (circuit breakers and fuses) must be correctly sized for the conductor they protect. Breakers and fuses must not be modified, bypassed, or oversized to prevent tripping. Tandem breakers (two-circuit breakers in a single slot) must only be used in panels specifically designed to accept them.</t>
  </si>
  <si>
    <t>During the panel inspections, observe whether any breakers appear to have been modified (taped handles, oversized fuses in fuseholders). Ask the maintenance manager whether any breakers have been replaced with higher-rated units because they kept tripping — this is a serious finding (the correct fix is to identify and correct the overload, not increase the breaker size). Confirm no fuse slots have been filled with anything other than the correct-rated fuse.</t>
  </si>
  <si>
    <t>29 CFR 1910.304(e)(1)-(e)(3)</t>
  </si>
  <si>
    <t>HAZARDOUS LOCATIONS — COMBUSTIBLE DUST</t>
  </si>
  <si>
    <t>EL-12</t>
  </si>
  <si>
    <t>Hazardous Locations — Combustible Dust</t>
  </si>
  <si>
    <t>Electrical equipment installed in areas where ignitable concentrations of combustible dust may be present must be specifically rated and approved for that hazard classification. Gypsum dust (calcined hemihydrate) may be a Class II combustible dust depending on particle size and moisture content. Any area with significant gypsum dust accumulation requires a hazardous location assessment.</t>
  </si>
  <si>
    <t>Request the facility's area classification study or hazardous location assessment. Confirm whether any areas have been classified as Class II Division 1 or Division 2 (combustible dust environments). If classified areas exist, confirm that all electrical equipment in those areas carries the appropriate listing (explosion-proof for Division 1; dust-ignition-proof or purged/pressurized for Division 2). Note: if no classification study has been performed but visible dust accumulations exist on electrical equipment in process areas, this warrants an immediate engineering review.</t>
  </si>
  <si>
    <t>29 CFR 1910.307(a)-(b)</t>
  </si>
  <si>
    <t>EL-13</t>
  </si>
  <si>
    <t>In classified hazardous locations, conduit seals must be installed at conduit entries into enclosures containing ignition-capable equipment. Seals prevent the passage of gases, vapors, or flames from one area to another through the conduit system.</t>
  </si>
  <si>
    <t>If classified hazardous locations exist at this facility: walk to 10% of electrical enclosures in classified areas (minimum 5 locations). Confirm conduit seals are installed within 18 inches of each enclosure. Confirm seal fittings are filled (not empty shells — the sealing compound must be visible or confirmed). Unsealed conduit in a classified area is a significant explosion hazard.</t>
  </si>
  <si>
    <t>29 CFR 1910.307(d)</t>
  </si>
  <si>
    <t>ELECTRICAL SAFETY WORK PRACTICES</t>
  </si>
  <si>
    <t>EL-14</t>
  </si>
  <si>
    <t>Electrical Safety Work Practices</t>
  </si>
  <si>
    <t>Only qualified persons (those trained and knowledgeable in the construction and operation of electrical equipment and the hazards involved) may work on energized electrical parts of 50 volts or more. Unqualified persons must be kept at least 10 feet away from exposed energized parts of overhead lines.</t>
  </si>
  <si>
    <t>Ask the maintenance manager to identify which employees are designated as qualified electrical workers. Request training records for those individuals. Confirm their training covers: the electrical hazards present at this facility; selection and use of PPE (arc flash, insulated tools); approach distances to energized conductors; and emergency response for electrical incidents. Confirm non-qualified employees are not performing electrical work.</t>
  </si>
  <si>
    <t>29 CFR 1910.333(a),(c)(3)(i)-(c)(3)(ii)</t>
  </si>
  <si>
    <t>EL-15</t>
  </si>
  <si>
    <t>Electrical equipment must be de-energized before employees work on or near exposed live parts, unless de-energizing creates additional or increased hazards or is infeasible due to equipment design or operational continuity. When energized electrical work is performed, it must be done under an Energized Electrical Work Permit (EEWP) unless the work is classified as routine by a qualified person.</t>
  </si>
  <si>
    <t>Ask whether the facility performs any energized electrical work (taking voltage readings, thermographic scanning, troubleshooting with power on). If yes, request the Energized Electrical Work Permit program and a sample of completed EEWPs. Confirm the permits identify the hazard (arc flash incident energy), the required PPE (arc flash suit rating), and justification for working energized. Confirm a qualified person approved each permit.</t>
  </si>
  <si>
    <t>29 CFR 1910.333(a)(1)-(a)(2); NFPA 70E</t>
  </si>
  <si>
    <t>EL-16</t>
  </si>
  <si>
    <t>Personal protective equipment (PPE) for electrical work must include rubber insulating gloves rated for the voltage class, arc flash protection (arc-rated clothing, face shield) when arc flash hazard exists, and insulated tools.</t>
  </si>
  <si>
    <t>Request the arc flash hazard analysis (AFHA) for this facility. Confirm the AFHA has been performed and updated within the past 5 years or following any significant electrical system change. Confirm PPE requirements are communicated to qualified electrical workers — confirm rubber insulating gloves, arc-rated FR clothing, and face shields are available and used. Inspect 10% of electrical PPE (minimum 3 sets): check glove test dates (every 6 months) and arc-rated garment condition.</t>
  </si>
  <si>
    <t>29 CFR 1910.335(a)(1)-(a)(2); NFPA 70E</t>
  </si>
  <si>
    <t>HAND &amp; PORTABLE POWER TOOLS COMPLIANCE AUDIT</t>
  </si>
  <si>
    <t>29 CFR 1910.241-244 — Hand and Portable Powered Tools and Equipment. Prepared under attorney-client privilege.</t>
  </si>
  <si>
    <t>GENERAL TOOL REQUIREMENTS</t>
  </si>
  <si>
    <t>PT-1</t>
  </si>
  <si>
    <t>General Tool Requirements</t>
  </si>
  <si>
    <t>Hand and portable powered tools and equipment must be maintained in a safe condition. Tools must be inspected before use and removed from service if defective.</t>
  </si>
  <si>
    <t>Walk to tool storage areas and active work areas. Inspect 10% of tools in service (minimum 10 tools). For each: look for cracked handles, broken guards, damaged power cords, missing insulation on insulated tools, dull or damaged cutting edges, and bent or deformed striking surfaces. Ask whether a formal tool inspection program exists and how damaged tools are removed from service. Confirm no defective tools are tagged as available for use.</t>
  </si>
  <si>
    <t>29 CFR 1910.242(a)</t>
  </si>
  <si>
    <t>PT-2</t>
  </si>
  <si>
    <t>Compressed air used for cleaning purposes must be reduced to less than 30 psi when the nozzle or orifice is dead-ended (i.e., the nozzle could be blocked against a surface and pressure could build up). The nozzle must also have side openings to prevent dead-end pressure buildup. If compressed air is used for personal cleaning, effective chip guarding and PPE must be used.</t>
  </si>
  <si>
    <t>Walk to areas where compressed air cleaning is performed. Confirm: OSHA-compliant safety nozzles (with side-vent holes) are used rather than standard open-ended air nozzles; if a pressure gauge is present on the line, confirm pressure is at or below 30 psi when the air gun is dead-ended. Ask employees whether they have ever blown compressed air on themselves or their clothing to clean off dust — this practice is prohibited and indicates a training gap.</t>
  </si>
  <si>
    <t>29 CFR 1910.242(b)</t>
  </si>
  <si>
    <t>PT-3</t>
  </si>
  <si>
    <t>Portable electrically-powered hand tools (drills, grinders, saws) must be grounded through a three-prong plug and grounding conductor, OR be double-insulated. Double-insulated tools must be distinctly marked and must not be used in wet environments.</t>
  </si>
  <si>
    <t>Inspect 10% of portable electric tools (minimum 10). For each: confirm the power cord has a three-prong grounding plug (or the tool is marked as double-insulated); the grounding prong is not bent, removed, or damaged; no adapter plugs are in use. For double-insulated tools: confirm they are clearly marked 'Double Insulated' on the tool body and are not being used in wet conditions.</t>
  </si>
  <si>
    <t>29 CFR 1910.243(a)(5)</t>
  </si>
  <si>
    <t>PORTABLE POWER TOOL GUARDS</t>
  </si>
  <si>
    <t>PT-4</t>
  </si>
  <si>
    <t>Portable Power Tool Guards</t>
  </si>
  <si>
    <t>Portable circular saws must be equipped with a fixed guard above the base plate and a self-adjusting lower guard that returns to the covering position when removed from the material. The lower guard must not be pinned or wedged open.</t>
  </si>
  <si>
    <t>Inspect 100% of portable circular saws at the facility. For each: confirm the upper fixed guard is present; lift the saw and confirm the lower guard returns automatically to cover the blade when the saw is not cutting; confirm the lower guard is not modified to stay open. Ask maintenance employees whether they have ever been tempted to pin back the lower guard — this practice is common and must be specifically addressed in training.</t>
  </si>
  <si>
    <t>29 CFR 1910.243(a)(1)-(a)(2)</t>
  </si>
  <si>
    <t>PT-5</t>
  </si>
  <si>
    <t>Portable belt sanders must be provided with guards at each nip point where the sanding belt makes contact with the pulley. Guards must be installed to prevent contact with nip points.</t>
  </si>
  <si>
    <t>Inspect 100% of portable belt sanders. For each: confirm nip-point guards are present at the drive pulley and at the idler pulley where the belt makes contact. Confirm guards are firmly attached. Ask operators to demonstrate proper grip and operating technique.</t>
  </si>
  <si>
    <t>29 CFR 1910.243(a)(3)</t>
  </si>
  <si>
    <t>PT-6</t>
  </si>
  <si>
    <t>Switches on portable circular saws, chain saws, and percussion tools must be designed so the tool will stop running when pressure is removed from the switch. These tools must not be capable of being locked in the 'on' position.</t>
  </si>
  <si>
    <t>Test 10% of portable circular saws (unplugged/unloaded). Squeeze the trigger and release it — confirm the blade stops when the trigger is released. Confirm there is no mechanism to lock the trigger in the running position. If a locking mechanism exists on any tool in this category, that tool must be removed from service.</t>
  </si>
  <si>
    <t>29 CFR 1910.243(a)(4)</t>
  </si>
  <si>
    <t>PNEUMATIC TOOLS</t>
  </si>
  <si>
    <t>PT-7</t>
  </si>
  <si>
    <t>Pneumatic Tools</t>
  </si>
  <si>
    <t>Pneumatic tools must be secured to hoses to prevent accidental disconnection. Safety clips or retainers must be used on all pneumatic chisels, hammers, drills, and similar tools to prevent the tool from being ejected from the barrel.</t>
  </si>
  <si>
    <t>Walk to areas where pneumatic tools are used. Inspect 10% of pneumatic tools and hose connections (minimum 5). Confirm: safety clips (also called retaining devices or whip checks) are installed at each hose-to-tool and hose-to-hose connection; the safety clip prevents the tool from ejecting if pressure is accidentally released; the clip is in good condition and properly engaged.</t>
  </si>
  <si>
    <t>29 CFR 1910.243(b)(1)-(b)(2)</t>
  </si>
  <si>
    <t>PT-8</t>
  </si>
  <si>
    <t>Pneumatic hose connections must be secured with positive means to prevent accidental disconnection. Safety locking pins, wire, or safety cables must be used at each hose coupling in lines over 1/2 inch inside diameter.</t>
  </si>
  <si>
    <t>Inspect 10% of pneumatic hose runs (minimum 5 runs). Confirm positive-locking hose couplings are used at each connection point, or that safety wires/whip-check cables are attached at each joint. Trace each hose run from the tool to the manifold — confirm every connection point is secured. Pay particular attention to overhead hose runs where a disconnected hose could flail and injure workers below.</t>
  </si>
  <si>
    <t>29 CFR 1910.243(b)(3)</t>
  </si>
  <si>
    <t>ABRASIVE WHEELS ON PORTABLE GRINDERS</t>
  </si>
  <si>
    <t>PT-9</t>
  </si>
  <si>
    <t>Abrasive Wheels on Portable Grinders</t>
  </si>
  <si>
    <t>Abrasive wheels used on portable grinders must be used only on machines provided with safety guards — except for wheels where the application makes guarding impractical (disc wheels used for grinding inside grooves) where the entire grinding surface is engaged.</t>
  </si>
  <si>
    <t>Inspect 100% of portable grinders (angle grinders, die grinders, right-angle grinders). For each: confirm the wheel guard is present and covers the required arc of the wheel; the guard is firmly attached and cannot be removed without tools; the guard has not been bent back, removed, or replaced with a makeshift cover. Guards removed for convenience is the most common violation — look for any grinder with the guard missing.</t>
  </si>
  <si>
    <t>29 CFR 1910.243(c)(1)-(c)(4)</t>
  </si>
  <si>
    <t>PT-10</t>
  </si>
  <si>
    <t>Abrasive wheels on portable grinders must be closely inspected and ring-tested (sounded) immediately before mounting. The wheel must fit freely on the spindle; flanges must be the correct size; and the wheel must not exceed the RPM rating of the grinder.</t>
  </si>
  <si>
    <t>Ask the person responsible for changing grinding wheels on portable grinders to demonstrate the ring test (tap the wheel with a non-metallic object 1-2 inches from the edge — a clear ring indicates no cracks; a dull thud indicates a cracked wheel). Inspect 10% of wheels currently mounted on portable grinders (minimum 5): confirm the maximum RPM rating on the wheel equals or exceeds the no-load RPM of the grinder it is mounted on. A wheel rated for less than the grinder's speed is a fragmentation hazard.</t>
  </si>
  <si>
    <t>29 CFR 1910.243(c)(5)</t>
  </si>
  <si>
    <t>EXPLOSIVE-ACTUATED (POWDER-ACTUATED) TOOLS</t>
  </si>
  <si>
    <t>PT-11</t>
  </si>
  <si>
    <t>Explosive-Actuated (Powder-Actuated) Tools</t>
  </si>
  <si>
    <t>Explosive-actuated fastening tools (powder-actuated tools) must be provided with specific safety features: a guarded muzzle that prevents tool discharge unless against a surface; a safety that prevents firing unless the muzzle guard is depressed; a firing mechanism that prevents discharge if dropped.</t>
  </si>
  <si>
    <t>If powder-actuated tools are used at this facility: confirm all tools have muzzle guards and active safety mechanisms. Test the safety by attempting to fire the tool with the muzzle not depressed against a surface (with an unloaded tool) — it must not fire. Confirm tools are stored unloaded in a locked case when not in use.</t>
  </si>
  <si>
    <t>29 CFR 1910.243(d)(1)-(d)(2)</t>
  </si>
  <si>
    <t>PT-12</t>
  </si>
  <si>
    <t>Operators of explosive-actuated fastening tools must be trained to operate them safely and must carry their certification on their person at all times while using the tool. Operators must be at least 18 years old.</t>
  </si>
  <si>
    <t>If powder-actuated tools are used: request training/certification records for all current operators. Confirm training was conducted by the tool manufacturer or an authorized trainer. Ask an operator to produce their certification card — they must have it on their person while using the tool. Confirm no operators are under 18 years of age.</t>
  </si>
  <si>
    <t>29 CFR 1910.243(d)(1),(d)(5)</t>
  </si>
  <si>
    <t>JACKS</t>
  </si>
  <si>
    <t>PT-13</t>
  </si>
  <si>
    <t>Jacks</t>
  </si>
  <si>
    <t>Jacks (hydraulic, mechanical, and ratchet-type) must have the rated load legibly and permanently marked in a prominent location. Jacks must not be loaded beyond their rated capacity. The base of each jack must be placed on a firm, level surface. All load-bearing surfaces must be protected against slippage.</t>
  </si>
  <si>
    <t>Inspect 100% of floor jacks, bottle jacks, and service jacks at the facility. For each: confirm the rated capacity is marked on the jack body; no jack shows evidence of use beyond its rated capacity (bent frame, damaged seals, hydraulic fluid leaks); when in use, safety stands must be in place to support the load if the jack fails. Ask employees whether they ever leave loads supported only by jacks without safety stands underneath.</t>
  </si>
  <si>
    <t>29 CFR 1910.244(a)(1)-(a)(2)</t>
  </si>
  <si>
    <t>HAZARD COMMUNICATION (HAZCOM/GHS) COMPLIANCE AUDIT</t>
  </si>
  <si>
    <t>29 CFR 1910.1200 — Hazard Communication Standard. Prepared under attorney-client privilege.</t>
  </si>
  <si>
    <t>WRITTEN HAZARD COMMUNICATION PROGRAM</t>
  </si>
  <si>
    <t>HC-1</t>
  </si>
  <si>
    <t>Written Hazard Communication Program</t>
  </si>
  <si>
    <t>A written Hazard Communication (HazCom) program must be developed, implemented, and maintained at the workplace. The program must describe how the facility will meet the requirements for labels, SDSs, and employee training, and must include a list of all hazardous chemicals at the workplace.</t>
  </si>
  <si>
    <t>Request the written HazCom program. Confirm: (1) a current revision date within the past 12 months or after any significant chemical inventory change; (2) the program addresses all three implementation areas — labels, SDSs, and training; (3) a chemical inventory list is attached or referenced, and is current. Ask how new chemicals are added to the inventory — confirm a process exists before chemicals arrive on site.</t>
  </si>
  <si>
    <t>29 CFR 1910.1200(e)(1)-(e)(2)</t>
  </si>
  <si>
    <t>HC-2</t>
  </si>
  <si>
    <t>The HazCom program must be made available to employees and their representatives upon request.</t>
  </si>
  <si>
    <t>Confirm the written program is accessible to all employees — not locked in a manager's file cabinet. Ask an employee where they would find the HazCom program — they should be able to identify a location (safety office, shared drive, intranet, binder at workstation).</t>
  </si>
  <si>
    <t>29 CFR 1910.1200(e)(4)</t>
  </si>
  <si>
    <t>HC-3</t>
  </si>
  <si>
    <t>Multi-employer workplaces: where employees of other employers work on site, the host employer must ensure those contractors receive SDSs and labeling information for hazardous chemicals they may be exposed to.</t>
  </si>
  <si>
    <t>Confirm whether contractors regularly work at this facility. If yes, confirm the site has a process to share SDSs and HazCom information before contractors begin work — check contractor safety orientation documentation or pre-job meeting records for HazCom information exchange.</t>
  </si>
  <si>
    <t>29 CFR 1910.1200(e)(2)</t>
  </si>
  <si>
    <t>CONTAINER LABELS</t>
  </si>
  <si>
    <t>HC-4</t>
  </si>
  <si>
    <t>Container Labels</t>
  </si>
  <si>
    <t>Each container of hazardous chemicals in the workplace must be labeled, tagged, or marked with: (1) product identifier; (2) signal word; (3) hazard statement(s); (4) pictogram(s); (5) precautionary statement(s); and (6) name/address/phone number of the chemical manufacturer, importer, or responsible party. Labels must be legible, in English, and prominently displayed.</t>
  </si>
  <si>
    <t>Walk to 10% of chemical use and storage areas (minimum 5 areas). For each container in the area: confirm the GHS-compliant label is present and all six required elements are readable. Look specifically for: unlabeled containers, labels covered by tape or stickers, faded or worn labels, secondary containers filled from a larger container and not re-labeled. Confirm labels have not been removed or defaced.</t>
  </si>
  <si>
    <t>29 CFR 1910.1200(f)(1),(f)(5)</t>
  </si>
  <si>
    <t>HC-5</t>
  </si>
  <si>
    <t>Workplace labels on secondary containers (re-filled from a bulk container) must contain, at minimum, the product identifier and words, pictures, symbols, or combinations that provide general information about the hazards. Full GHS labels are preferred.</t>
  </si>
  <si>
    <t>Inspect 10% of secondary containers at the facility (spray bottles, small jugs, portable tanks — minimum 10 containers). Confirm each has at minimum the product name/identifier and a general hazard indication. Any secondary container with only a handwritten name but no hazard information is deficient.</t>
  </si>
  <si>
    <t>29 CFR 1910.1200(f)(6)</t>
  </si>
  <si>
    <t>SAFETY DATA SHEETS</t>
  </si>
  <si>
    <t>HC-6</t>
  </si>
  <si>
    <t>Safety Data Sheets</t>
  </si>
  <si>
    <t>A Safety Data Sheet (SDS) must be maintained for each hazardous chemical used at the workplace. SDSs must be in the revised 16-section GHS format (not the old 8-section MSDS format). Each SDS must be in English and must be accessible to employees in their work area during each work shift.</t>
  </si>
  <si>
    <t>Request the SDS library/binder for 10% of work areas (minimum 3 areas). Spot-check 10% of chemicals in the inventory (minimum 10 chemicals): confirm an SDS exists for each chemical; confirm the SDS is in the 16-section GHS format (not the older MSDS format); confirm the SDS is current (check the revision date — if a chemical has changed formulation, the SDS must reflect that). Note any chemicals in use that lack an SDS.</t>
  </si>
  <si>
    <t>29 CFR 1910.1200(g)(1),(g)(8)</t>
  </si>
  <si>
    <t>HC-7</t>
  </si>
  <si>
    <t>SDSs must contain the required 16 sections with accurate, complete information. Critical sections include: Section 2 (hazard identification — signal word, pictograms, hazard statements); Section 4 (first aid); Section 6 (accidental release); Section 7 (handling/storage); Section 8 (exposure controls/PPE); Section 11 (toxicological information).</t>
  </si>
  <si>
    <t>Pull SDSs for 10% of chemicals in the highest-hazard areas (minimum 5 SDSs). Review each for completeness: Section 2 must include the signal word and GHS hazard statements; Section 8 must specify PPE requirements that match what employees are actually using; Section 4 must describe first aid steps. If any critical section states 'not applicable' or is clearly incomplete for a chemical with known hazards, document as a finding.</t>
  </si>
  <si>
    <t>29 CFR 1910.1200(g)(2)</t>
  </si>
  <si>
    <t>HC-8</t>
  </si>
  <si>
    <t>SDSs must be readily accessible to employees on all shifts and in all work areas where hazardous chemicals are used. Electronic access is acceptable only if there are no barriers to immediate access and a backup system (printed copies) is available for power outages.</t>
  </si>
  <si>
    <t>Ask employees in 10% of work areas (minimum 5 employees) how they would access an SDS for a chemical they work with if they needed it right now. Time the response if electronic — confirm access is immediate and not dependent on finding a supervisor. If electronic-only, ask what happens if the computer is down.</t>
  </si>
  <si>
    <t>29 CFR 1910.1200(g)(8)-(g)(10)</t>
  </si>
  <si>
    <t>EMPLOYEE TRAINING</t>
  </si>
  <si>
    <t>HC-9</t>
  </si>
  <si>
    <t>Employee Training</t>
  </si>
  <si>
    <t>Employees must be trained on HazCom at the time of initial assignment and when a new chemical hazard is introduced. Training must cover the following required topics:
(1) The requirements of the HazCom standard and employee rights under it
(2) Operations in the work area where hazardous chemicals are present
(3) Location and availability of the written HazCom program, chemical inventory, and SDSs
(4) Methods used to detect the presence or release of hazardous chemicals
(5) Physical, health, simple asphyxiation, combustible dust, and pyrophoric gas hazards of chemicals
(6) Measures employees can take to protect themselves
(7) Details of the labeling system and how to interpret GHS labels and SDSs</t>
  </si>
  <si>
    <t>CHECKLIST — Request training records for 10% of employees who work with or near hazardous chemicals (minimum 10 employees). Confirm initial training before first exposure and retraining when new hazards are introduced. Confirm training covers all 7 required topics above. Interview 10% of those employees (minimum 5):
□ Can they identify the signal word and at least one hazard statement on a chemical label in their area?
□ Can they locate the SDS for that chemical?
□ Do they know what PPE to use?
□ Can they describe what to do in case of a spill?
Gaps between training records and actual employee knowledge are a finding.</t>
  </si>
  <si>
    <t>29 CFR 1910.1200(h)(1)-(h)(3)</t>
  </si>
  <si>
    <t>COMBUSTIBLE DUST — HAZCOM CONSIDERATIONS</t>
  </si>
  <si>
    <t>HC-10</t>
  </si>
  <si>
    <t>Combustible Dust — HazCom Considerations</t>
  </si>
  <si>
    <t>Combustible dust hazards must be addressed in the HazCom program. Chemical manufacturers and employers must classify combustible dust hazards and communicate those hazards via labels and SDSs. For gypsum manufacturing, calcined gypsum (stucco/hemihydrate) and fine limestone dust may present combustible dust hazards depending on particle size and moisture content.</t>
  </si>
  <si>
    <t>Confirm whether the facility has conducted a combustible dust hazard assessment (NFPA 652 Process Hazard Analysis or equivalent). Review the HazCom program and SDSs for raw gypsum, calcined gypsum, and any other dust-generating processes — confirm combustible dust hazards are identified where applicable. Ask whether dust accumulation on elevated surfaces is monitored and cleaned — accumulations greater than 1/32 inch over 5% of a room's floor area is a National Fire Protection Association benchmark for hazardous accumulation.</t>
  </si>
  <si>
    <t>29 CFR 1910.1200(c),(d)(4); NFPA 652</t>
  </si>
  <si>
    <t>FORKLIFTS &amp; POWERED INDUSTRIAL TRUCKS COMPLIANCE AUDIT</t>
  </si>
  <si>
    <t>29 CFR 1910.176, 1910.178 — Materials Handling &amp; Powered Industrial Trucks. Prepared under attorney-client privilege.</t>
  </si>
  <si>
    <t>MATERIALS HANDLING — GENERAL</t>
  </si>
  <si>
    <t>PIT-1</t>
  </si>
  <si>
    <t>Materials Handling — General</t>
  </si>
  <si>
    <t>Handling and storage of materials must be conducted safely to minimize risks of physical injury. Storage areas must prevent tripping, fire, and pest harborage. Materials must not be stored in a way that creates hazards from overloading floors or blocking exits, emergency equipment, or passageways.</t>
  </si>
  <si>
    <t>Walk 10% of storage areas (minimum 5). Confirm: aisles and passageways are clear; materials are stacked safely and will not tip; exits, fire extinguishers, and emergency equipment are not blocked; floors are not overloaded relative to their rated capacity. Note any materials stored against electrical panels or within the required working space.</t>
  </si>
  <si>
    <t>29 CFR 1910.176(a)-(b)</t>
  </si>
  <si>
    <t>POWERED INDUSTRIAL TRUCK DESIGN &amp; DESIGNATION</t>
  </si>
  <si>
    <t>PIT-2</t>
  </si>
  <si>
    <t>Powered Industrial Truck Design &amp; Designation</t>
  </si>
  <si>
    <t>Powered industrial trucks (forklifts, pallet jacks, reach trucks, etc.) must meet ASME B56.1 design requirements. Each truck must carry a nameplate showing its rated capacity, type designation, and applicable attachments.</t>
  </si>
  <si>
    <t>Walk to 10% of powered industrial trucks (minimum 5 trucks). For each: confirm the nameplate is present and legible; the type designation (E, ES, EE, EX, G, GS, LP, LPS, D, DS, DY) is visible; the rated capacity is shown and matches the loads being carried. A truck with a missing or unreadable nameplate must be taken out of service until the designation is re-established.</t>
  </si>
  <si>
    <t>29 CFR 1910.178(a)(3)-(a)(4)</t>
  </si>
  <si>
    <t>PIT-3</t>
  </si>
  <si>
    <t>Only approved trucks of the correct type designation may be used in classified locations (areas with flammable vapors, gases, or combustible dust). The atmosphere must be classified before trucks are assigned to work in those areas.</t>
  </si>
  <si>
    <t>Confirm whether any areas where powered industrial trucks operate are classified as hazardous (flammable vapors, combustible dust). If yes, confirm the truck type designation matches the location classification. For a gypsum manufacturing facility, areas with calcined gypsum dust may require a dust-rated truck depending on the classification study.</t>
  </si>
  <si>
    <t>29 CFR 1910.178(c)(1)-(c)(7)</t>
  </si>
  <si>
    <t>OPERATING REQUIREMENTS</t>
  </si>
  <si>
    <t>PIT-4</t>
  </si>
  <si>
    <t>Operating Requirements</t>
  </si>
  <si>
    <t>Safe operating procedures must be followed at all times. Required procedures include: travel with forks in lowered position; observe posted speed limits; maintain safe distances from personnel; yield to pedestrians; no riding on the forks or load; no placing arms or legs between the uprights or outside the running lines of the truck.</t>
  </si>
  <si>
    <t>Observe powered industrial truck operations for a minimum of 15 minutes in 10% of operational areas (minimum 2 areas). Note any deviations from safe operating practices. Interview 10% of operators (minimum 3): ask what the maximum travel speed is, what they do when approaching a blind corner, and what the proper fork height is during travel. Check whether pedestrian/forklift traffic is separated — shared travel lanes without physical separation or floor markings are a finding.</t>
  </si>
  <si>
    <t>29 CFR 1910.178(m),(n),(o),(p)</t>
  </si>
  <si>
    <t>PIT-5</t>
  </si>
  <si>
    <t>Fueling, battery charging, and LPG cylinder exchange must be conducted in designated areas. The area must be clear of ignition sources, well-ventilated, and equipped with appropriate fire protection. Battery charging areas must have spill protection, water for flushing, and eye wash equipment.</t>
  </si>
  <si>
    <t>Walk to the battery charging area and/or LPG cylinder exchange area. Confirm: the area is designated and posted; no smoking signs are posted and enforced; open flames are prohibited; adequate ventilation prevents hydrogen gas accumulation in the charging area (hydrogen is released during battery charging); an eye wash station is within 10 seconds of the battery charging area; spill containment or a floor drain is present for battery acid.</t>
  </si>
  <si>
    <t>29 CFR 1910.178(f)(1)-(f)(5)</t>
  </si>
  <si>
    <t>PIT-6</t>
  </si>
  <si>
    <t>Powered industrial trucks must not be operated in areas where the floor or surface cannot safely support the truck and its load. Bridge plates, dock boards, and loading ramps must be checked before the truck crosses them.</t>
  </si>
  <si>
    <t>Ask operators how they determine whether a surface can support the truck and its load. Confirm dock boards are secured before a forklift crosses them. Ask whether any areas of the facility have floor loading limitations that are communicated to operators.</t>
  </si>
  <si>
    <t>29 CFR 1910.178(e)(1)-(e)(2)</t>
  </si>
  <si>
    <t>INSPECTION &amp; MAINTENANCE</t>
  </si>
  <si>
    <t>PIT-7</t>
  </si>
  <si>
    <t>Inspection &amp; Maintenance</t>
  </si>
  <si>
    <t>Powered industrial trucks must be examined before being placed in service each day (or shift, if used around the clock). Pre-shift inspections must check all safety components. Defects found before or during use must be reported immediately; trucks must not be used until the defect is corrected.</t>
  </si>
  <si>
    <t>Request pre-shift inspection records for 10% of trucks for the past 30 days (minimum 3 trucks, 5 days each). Confirm: inspections are conducted each shift; all required items are checked (horn, lights, brakes, steering, forks, mast, hydraulics, tires, battery/fuel, overhead guard, load backrest); defects found on any inspection log are traced to a corrective maintenance record before the truck was returned to service.</t>
  </si>
  <si>
    <t>29 CFR 1910.178(q)(1)-(q)(7)</t>
  </si>
  <si>
    <t>PIT-8</t>
  </si>
  <si>
    <t>Industrial trucks must be maintained in safe operating condition at all times. Only trained personnel may perform maintenance. Trucks must not be used with mechanical defects. Fuel and hydraulic systems must not have leaks.</t>
  </si>
  <si>
    <t>Observe 10% of trucks (minimum 3 trucks). Check for: hydraulic fluid leaks (staining under the mast or hose connections); LPG hose cracking or chafing; fork damage (bent tines, cracked welds at the shank); overhead guard condition; operational lights and horn. Attempt to test the horn on each truck. Ask the maintenance coordinator when the last periodic maintenance was performed and request the service log.</t>
  </si>
  <si>
    <t>29 CFR 1910.178(q)(2)-(q)(7)</t>
  </si>
  <si>
    <t>OPERATOR TRAINING &amp; EVALUATION</t>
  </si>
  <si>
    <t>PIT-9</t>
  </si>
  <si>
    <t>Operator Training &amp; Evaluation</t>
  </si>
  <si>
    <t>All powered industrial truck operators must be trained before operating a truck. Training must consist of a combination of formal instruction, practical training, and evaluation. The training program must cover truck-specific topics AND workplace-specific topics per 29 CFR 1910.178(l)(2). See Evidence column for required training elements.</t>
  </si>
  <si>
    <t>CHECKLIST — Request operator training and certification records for 100% of currently active operators. Confirm each record includes formal instruction, practical training on the specific truck type, and a workplace-specific evaluation. Required training topics must include:
□ Truck-specific: controls, instrumentation, steering, maneuvering, visibility, fork/attachment operation, refueling/charging, pre-use inspection, limitations of the truck
□ Workplace-specific: surface conditions, load composition/stability, load manipulation/stacking, pedestrian traffic, narrow aisles, hazardous locations, ramps/slopes, closed environments and ventilation
Each operator must have a certification card or record showing the specific truck type(s) they are qualified to operate.</t>
  </si>
  <si>
    <t>29 CFR 1910.178(l)(1)-(l)(2)</t>
  </si>
  <si>
    <t>PIT-10</t>
  </si>
  <si>
    <t>Refresher training and re-evaluation must be conducted when: an operator is observed operating the truck unsafely; an operator has been in an accident or near-miss; the operator is assigned to a different type of truck; conditions in the workplace change that affect safe operation; or the operator has not operated a truck for more than 90 days.</t>
  </si>
  <si>
    <t>Ask the safety manager for a log of forklift incidents, near-misses, and observed unsafe acts in the past 12 months. For each event: confirm refresher training was documented for the involved operator before they returned to operation. Confirm operators returning after extended absences (90+ days without operating a truck) are re-evaluated before resuming operations.</t>
  </si>
  <si>
    <t>29 CFR 1910.178(l)(4)</t>
  </si>
  <si>
    <t>PIT-11</t>
  </si>
  <si>
    <t>The employer must certify that each operator has been trained and evaluated. The certification must include the operator's name, the date of training, the date of evaluation, and the identity of the person performing the training or evaluation.</t>
  </si>
  <si>
    <t>Review 10% of operator certification records (minimum 5 records). Confirm each record contains all four required elements: operator name, training date, evaluation date, and trainer/evaluator identity. A training certificate that shows only the operator name and date — without an evaluation date and trainer identity — is incomplete.</t>
  </si>
  <si>
    <t>29 CFR 1910.178(l)(6)</t>
  </si>
  <si>
    <t>CRANES, HOISTS &amp; RIGGING COMPLIANCE AUDIT</t>
  </si>
  <si>
    <t>29 CFR 1910.179-184 — Overhead Cranes, Hoisting Equipment &amp; Slings. Prepared under attorney-client privilege.</t>
  </si>
  <si>
    <t>OVERHEAD &amp; GANTRY CRANES — DESIGN &amp; EQUIPMENT</t>
  </si>
  <si>
    <t>CR-1</t>
  </si>
  <si>
    <t>Overhead &amp; Gantry Cranes — Design &amp; Equipment</t>
  </si>
  <si>
    <t>Overhead and gantry cranes must be designed in accordance with ASME B30.2 and must be in good mechanical condition. All safety devices, warning systems, and limit switches must be functional.</t>
  </si>
  <si>
    <t>Confirm each overhead/gantry crane at the facility has documentation of design compliance (nameplate, engineering drawings, or original installation certification). Walk to 10% of cranes (minimum all cranes if fewer than 5; otherwise minimum 5). For each: visually inspect for obvious structural damage (bent girders, cracked welds, corroded hook blocks); test the hoist limit switch at the start of the operator's shift; confirm the warning device (bell or horn) functions.</t>
  </si>
  <si>
    <t>29 CFR 1910.179(b)-(c)</t>
  </si>
  <si>
    <t>CR-2</t>
  </si>
  <si>
    <t>All cranes must display the rated load capacity in a prominent location. The operator must not exceed the rated load. Rated load capacities must reflect any attachments or configuration changes.</t>
  </si>
  <si>
    <t>Confirm rated load markings are visible on 10% of cranes (minimum all cranes if fewer than 5). Ask operators how they verify a load does not exceed the crane's capacity. Confirm no makeshift indicators (tape, paint marks) have been substituted for proper load markings.</t>
  </si>
  <si>
    <t>29 CFR 1910.179(b)(2)</t>
  </si>
  <si>
    <t>OVERHEAD &amp; GANTRY CRANES — INSPECTION</t>
  </si>
  <si>
    <t>CR-3</t>
  </si>
  <si>
    <t>Overhead &amp; Gantry Cranes — Inspection</t>
  </si>
  <si>
    <t>Cranes in regular service must undergo frequent inspections (daily to monthly, depending on use) and periodic inspections (1-12 months, depending on use). Specific items requiring frequent inspection include: all functional operating mechanisms for maladjustment; deterioration or leakage in lines, tanks, valves, drain pumps; hooks; hoist chains and end connections; rope reeving for non-compliance.</t>
  </si>
  <si>
    <t>Request the crane inspection log for each overhead crane for the past 12 months. Confirm: daily/frequent inspections are documented for each day the crane is used; the inspection covers all required components; and any deficiencies found are documented and traced to a corrective action before the crane was returned to service. A crane operated without a documented pre-use inspection is a finding.</t>
  </si>
  <si>
    <t>29 CFR 1910.179(j)(1)-(j)(2)</t>
  </si>
  <si>
    <t>CR-4</t>
  </si>
  <si>
    <t>Periodic inspections (at 1-12 month intervals depending on use) must cover all components not covered in frequent inspections, including deformed, cracked, or corroded members; loose bolts or rivets; cracked or worn sheaves and drums; worn, cracked, or distorted parts; all hooks per ASME B30.10.</t>
  </si>
  <si>
    <t>Request periodic inspection records for all overhead cranes. Confirm the inspections were performed by a qualified person (documented competency) at the required interval for the crane's service class. Confirm the inspection covered structural members, hooks, rope, brakes, limit switches, and electrical systems. Any crane without a current periodic inspection record must be taken out of service.</t>
  </si>
  <si>
    <t>29 CFR 1910.179(j)(3)</t>
  </si>
  <si>
    <t>CR-5</t>
  </si>
  <si>
    <t>All wire ropes on cranes must be inspected and must be replaced if any of the following conditions exist: in running ropes — more than 2 broken wires in one lay in areas subject to normal abrasion, more than 1 broken wire at end attachments; visible wear reducing the rope diameter by 1/3 of the original diameter; kinking, crushing, bird-caging; evidence of heat damage; reduction from original diameter of 3/64 inch (1/2 inch rope) or more.</t>
  </si>
  <si>
    <t>Inspect wire rope on 10% of crane hoist systems (minimum all if fewer than 5; otherwise 5 rope inspections). Run a hand (with gloves) along accessible rope length looking for broken wires, kinks, or bird-caging. Measure rope diameter at multiple points with a rope gauge — compare to the original diameter specification. Confirm the rope inspection is documented in the periodic inspection record.</t>
  </si>
  <si>
    <t>29 CFR 1910.179(m)(1)-(m)(3)</t>
  </si>
  <si>
    <t>OVERHEAD &amp; GANTRY CRANES — OPERATIONS</t>
  </si>
  <si>
    <t>CR-6</t>
  </si>
  <si>
    <t>Overhead &amp; Gantry Cranes — Operations</t>
  </si>
  <si>
    <t>Crane operators must be qualified and must follow established operating procedures. Key requirements: do not use a crane to lift people; do not leave a load suspended unattended; protect the load from swinging; use tag lines to control loads; do not side-pull or drag loads; use proper hand signals or radio communication with the signal person.</t>
  </si>
  <si>
    <t>Observe crane operations for 15 minutes at 10% of active cranes (minimum 1 observation). Confirm: operators are qualified (training/certification on file); proper signals are used (standardized hand signals or radio per ASME B30.2); no employees are under a suspended load; loads appear stable and within capacity. Ask operators when they would refuse to operate the crane.</t>
  </si>
  <si>
    <t>29 CFR 1910.179(n)(1)-(n)(4)</t>
  </si>
  <si>
    <t>CR-7</t>
  </si>
  <si>
    <t>A preventive maintenance (PM) program must be established based on the crane manufacturer's recommendations. Unsafe conditions found during any inspection must be corrected before the crane is returned to service. Cranes must not be loaded beyond their rated loads, and modifications that might affect safe operation require manufacturer or qualified engineer approval.</t>
  </si>
  <si>
    <t>Request the crane PM schedule and records for the past 12 months. Confirm PM was performed at the manufacturer-recommended intervals. Request any records of crane modifications (extended booms, added attachments, structural repairs) and confirm manufacturer or qualified engineer approval was obtained.</t>
  </si>
  <si>
    <t>29 CFR 1910.179(b)(5),(j)(3)(c)-(j)(3)(d)</t>
  </si>
  <si>
    <t>SLINGS</t>
  </si>
  <si>
    <t>CR-8</t>
  </si>
  <si>
    <t>Slings</t>
  </si>
  <si>
    <t>All slings and attachments must be inspected before each use and removed from service if any of the following defects are present: missing or illegible identification tag; deformations, nicks, cracks, corrosion; weld splatter; worn or damaged end fittings; broken wires exceeding limits; kinking, crushing, or bird-caging in wire rope; cuts, tears, or holes in synthetic slings.</t>
  </si>
  <si>
    <t>Inspect 10% of slings in use (minimum 10 slings — include chain, wire rope, and synthetic web if all three types are present). For each: confirm identification markings are present and legible (rated capacity, type, manufacturer); look for damage conditions listed above; confirm no field repairs have been made (slings must be repaired by the manufacturer, not field-welded or patched). Confirm a daily inspection is performed before each use.</t>
  </si>
  <si>
    <t>29 CFR 1910.184(c)(2)-(c)(3)</t>
  </si>
  <si>
    <t>CR-9</t>
  </si>
  <si>
    <t>Sling capacity must not be exceeded. Rated capacity is based on the type of hitch (single leg, two-leg, basket, choker), the angle of lift, and the sling material. Using a sling at an angle reduces its effective capacity — a 60-degree sling angle reduces capacity to 87% of vertical capacity; a 30-degree angle reduces capacity to 50%.</t>
  </si>
  <si>
    <t>Ask riggers to demonstrate their knowledge of sling angle capacity reduction. Confirm the rigging crew has a sling capacity chart available and uses it when configuring lifts. For any lifts observed, estimate the sling angle and confirm the apparent load is within capacity at that angle. Confirm synthetic web slings are not being used at temperatures above their rated maximum (typically 180°F for nylon).</t>
  </si>
  <si>
    <t>29 CFR 1910.184(c)(1)</t>
  </si>
  <si>
    <t>CR-10</t>
  </si>
  <si>
    <t>Alloy steel chain slings must not be used below the minimum temperature limit for the grade of chain. Chain slings must be proof tested per ASME B30.9 requirements. Damaged chain slings must be removed from service and returned to the manufacturer for repair — field repairs by welding, cutting, or splicing are prohibited.</t>
  </si>
  <si>
    <t>If chain slings are in use: inspect 10% of chain slings (minimum 3 slings). Confirm: the rated capacity tag is attached and legible; there are no bent, twisted, stretched, or cracked links; the hooks are not deformed or have more than 15% throat opening increase; the sling has been proof-tested (verify the test certificate or manufacturer's documentation). Confirm no chain slings have been repaired in the field.</t>
  </si>
  <si>
    <t>29 CFR 1910.184(e)(1)-(e)(9)</t>
  </si>
  <si>
    <t>HAZARDOUS MATERIALS COMPLIANCE AUDIT</t>
  </si>
  <si>
    <t>29 CFR 1910.101, 1910.106, 1910.110 — Compressed Gases, Flammable Liquids &amp; LP Gas. Prepared under attorney-client privilege.</t>
  </si>
  <si>
    <t>COMPRESSED GAS CYLINDERS</t>
  </si>
  <si>
    <t>HM-1</t>
  </si>
  <si>
    <t>Compressed Gas Cylinders</t>
  </si>
  <si>
    <t>Each employer must conduct a visual inspection of compressed gas cylinders to verify safety of use. Only cylinders that are in safe condition may be used. Safety relief devices must be inspected at regular intervals.</t>
  </si>
  <si>
    <t>Walk to 10% of compressed gas cylinder storage and use locations (minimum 3 locations). For each cylinder: visually inspect for corrosion, dents, damage to the valve, or missing valve cap; confirm the cylinder is properly identified with the gas name (not just a color code); check the hydrostatic retest date stamped on the cylinder — cylinders past their retest date must be removed from service. Confirm safety relief devices (pressure relief valves) are present and not blocked.</t>
  </si>
  <si>
    <t>29 CFR 1910.101(a)-(c)</t>
  </si>
  <si>
    <t>HM-2</t>
  </si>
  <si>
    <t>Compressed gas cylinders must be stored, handled, and used safely. Cylinders must be secured upright to prevent falling, stored away from heat sources, and kept away from electrical panels and ignition sources. Valve protection caps must be in place when cylinders are not connected.</t>
  </si>
  <si>
    <t>Inspect 10% of compressed gas cylinders at the facility (minimum 10 cylinders). Confirm: each cylinder is secured with a chain, strap, or bracket to prevent falling; valve protection caps are on all cylinders not in active use; cylinders are not stored near heat sources or open flames; full and empty cylinders are stored separately and labeled; oxygen cylinders are stored at least 20 feet from fuel gas cylinders (or separated by a 5-foot noncombustible barrier with a 30-minute fire rating).</t>
  </si>
  <si>
    <t>29 CFR 1910.101(b); CGA P-1</t>
  </si>
  <si>
    <t>HM-3</t>
  </si>
  <si>
    <t>When using compressed gas cylinders, cylinders must be moved properly (on an approved hand truck or cart), must not be dragged, dropped, or used as rollers. Gas must be withdrawn from cylinders only through listed regulators. Cylinders must not be emptied below 25 psig residual pressure.</t>
  </si>
  <si>
    <t>Ask employees who use compressed gas cylinders to demonstrate how they move a cylinder. Confirm carts or hand trucks are available and used. Ask what they do when a cylinder runs out — confirm they do not drain the cylinder below residual pressure. Inspect 10% of cylinder carts (minimum 3): confirm carts are rated for the cylinder weight and have a chain or strap for securing.</t>
  </si>
  <si>
    <t>HM-4</t>
  </si>
  <si>
    <t>Warning signs must be posted in compressed gas container storage areas. Storage areas for flammable gases must be free of ignition sources. Toxic and corrosive gases must be stored in a ventilated area with appropriate hazard identification.</t>
  </si>
  <si>
    <t>Walk to each compressed gas storage area. Confirm: DANGER or WARNING signs are posted indicating the hazardous gas present; for flammable gas storage — NO SMOKING and NO OPEN FLAMES signs are posted and any electrical equipment is rated for the hazardous location; for toxic gas storage — ventilation is provided; for oxidizer storage (oxygen) — no combustible materials are present in the storage area.</t>
  </si>
  <si>
    <t>29 CFR 1910.101(b)</t>
  </si>
  <si>
    <t>FLAMMABLE LIQUIDS</t>
  </si>
  <si>
    <t>HM-5</t>
  </si>
  <si>
    <t>Flammable Liquids</t>
  </si>
  <si>
    <t>Flammable liquids must be stored in listed safety containers or approved storage cabinets. Quantities stored outside of approved storage areas must be limited. Safety cans must have a spring-closing lid, flash arrester, and must be labeled with contents.</t>
  </si>
  <si>
    <t>Walk to 10% of areas where flammable liquids are used or stored (minimum 3 areas). For each: confirm flammable liquids are stored in listed safety cans (UL or FM listed) or in approved storage cabinets; safety cans have working spring-closing lids and flash arresters; containers are labeled; quantities outside of storage cabinets do not exceed one-day or one-shift supply (generally 25 gallons for Class I liquids outside a storage room).</t>
  </si>
  <si>
    <t>29 CFR 1910.106(d)(2)-(d)(3),(e)(2)-(e)(3)</t>
  </si>
  <si>
    <t>HM-6</t>
  </si>
  <si>
    <t>Storage cabinets for flammable liquids must meet design and capacity requirements: not more than 60 gallons of Class I or Class II liquids, or not more than 120 gallons of Class III liquids per cabinet; must be labeled FLAMMABLE — KEEP FIRE AWAY; must be liquid-tight at the bottom sill.</t>
  </si>
  <si>
    <t>Inspect 100% of flammable liquid storage cabinets at the facility. For each: confirm the cabinet is labeled; measure or estimate the contents — confirm the 60-gallon Class I/II limit is not exceeded; confirm the bottom of the cabinet has a 2-inch sill or equivalent containment; confirm the cabinet doors close and latch properly.</t>
  </si>
  <si>
    <t>29 CFR 1910.106(d)(3)(i)-(d)(3)(iii)</t>
  </si>
  <si>
    <t>HM-7</t>
  </si>
  <si>
    <t>Sources of ignition must be controlled in areas where flammable liquids are handled or stored. This includes open flames, smoking, welding, cutting, grinding, and electrical sparks. Grounding and bonding must be used during transfer of Class I flammable liquids to prevent static discharge.</t>
  </si>
  <si>
    <t>Walk to flammable liquid handling areas. Confirm: NO SMOKING signs are posted; no open flames or hot work is performed without a hot work permit; bonding cables and grounding clips are available for and used during flammable liquid transfers (confirm a grounding wire connects the dispensing container to the receiving container and both are grounded to earth). Ask whether hot work permits are required — confirm the permit system includes a check for proximity to flammable materials.</t>
  </si>
  <si>
    <t>29 CFR 1910.106(e)(6)-(e)(7)</t>
  </si>
  <si>
    <t>HM-8</t>
  </si>
  <si>
    <t>Adequate housekeeping must be maintained in flammable liquid storage and use areas. Waste materials and rags soaked with flammable or combustible liquids must be stored in metal containers with self-closing lids and disposed of properly.</t>
  </si>
  <si>
    <t>Walk to 10% of areas where flammable liquids are used (minimum 3 areas). Look for: oily or solvent-soaked rags left on surfaces or in cardboard boxes; spills not cleaned up; flammable waste liquids stored in unapproved containers (plastic bottles, glass jars). Confirm metal waste rag cans with self-closing lids are present and in use in areas where solvent-soaked rags are generated.</t>
  </si>
  <si>
    <t>29 CFR 1910.106(e)(9)(i)-(e)(9)(iii)</t>
  </si>
  <si>
    <t>LIQUEFIED PETROLEUM GAS (LP GAS / PROPANE)</t>
  </si>
  <si>
    <t>HM-9</t>
  </si>
  <si>
    <t>Liquefied Petroleum Gas (LP Gas / Propane)</t>
  </si>
  <si>
    <t>LP gas equipment and systems must be approved for the intended use. Containers and cylinders must be marked with the type of gas, water capacity, and service pressure. Containers must not exceed their rated fill density.</t>
  </si>
  <si>
    <t>Confirm whether LP gas is used at this facility (forklifts, heating, process). If yes: inspect 10% of LP gas containers (minimum 3 containers). Confirm: DOT or ASME markings are present; the tare weight and water capacity are marked on DOT cylinders; cylinder valves and connections are in good condition (no leaks — check with a soap solution or combustible gas detector); over-flow prevention valves are present on DOT cylinders.</t>
  </si>
  <si>
    <t>29 CFR 1910.110(b)(3)-(b)(5)</t>
  </si>
  <si>
    <t>HM-10</t>
  </si>
  <si>
    <t>LP gas storage areas must be kept clear of ignitable materials and weeds/debris. LP gas must not be used in buildings unless the building is ventilated to prevent dangerous concentrations. Cylinders must be stored in ventilated areas away from ignition sources and must not be stored inside buildings except as permitted.</t>
  </si>
  <si>
    <t>Walk to LP gas cylinder storage and use areas. Confirm: storage area is outdoors or in a ventilated area; cylinders are not stored inside heated buildings (other than as specifically permitted for direct use); the area is clear of combustible vegetation, debris, and materials within 10 feet; posted NO SMOKING and NO OPEN FLAMES signs are visible; electrical equipment in the storage area is appropriate for the location classification.</t>
  </si>
  <si>
    <t>29 CFR 1910.110(b)(6),(b)(13)</t>
  </si>
  <si>
    <t>HM-11</t>
  </si>
  <si>
    <t>Maintenance and operational personnel who handle LP gas equipment must be properly trained in safe handling, storage, and use. Emergency shutoffs must be clearly marked and readily accessible.</t>
  </si>
  <si>
    <t>Confirm LP gas training records for employees who handle LP gas cylinders or operate LP-fueled equipment (forklift operators, maintenance staff). Confirm at least one trained person per shift. Walk to LP gas system shutoffs — confirm they are clearly labeled, accessible, and operable without special tools. Ask an employee where the emergency shutoff is and have them point to it.</t>
  </si>
  <si>
    <t>29 CFR 1910.110(b)(19),(d)(14)</t>
  </si>
  <si>
    <t>OCCUPATIONAL HEALTH, VENTILATION &amp; HEARING CONSERVATION COMPLIANCE AUDIT</t>
  </si>
  <si>
    <t>29 CFR 1910.94-95 — Industrial Ventilation &amp; Occupational Noise. Prepared under attorney-client privilege.</t>
  </si>
  <si>
    <t>INDUSTRIAL VENTILATION</t>
  </si>
  <si>
    <t>OH-1</t>
  </si>
  <si>
    <t>Industrial Ventilation</t>
  </si>
  <si>
    <t>Local exhaust ventilation (LEV) must be provided where dust, fumes, mist, vapors, or gases from grinding, abrasive blasting, spray finishing, or other processes create health or fire hazards. Ventilation systems must be designed to maintain contaminant levels below applicable PELs.</t>
  </si>
  <si>
    <t>Walk to 10% of operations with identified air contaminant sources (grinding, blending, material handling, spray finishing, machining — minimum 3 operations). Confirm: LEV hoods or enclosures are present and positioned at each emission source; fans/blowers are operational (test by holding a tissue or smoke pencil near the hood); ductwork is not damaged, disconnected, or obstructed; dust collectors are operational and maintained.</t>
  </si>
  <si>
    <t>29 CFR 1910.94(a)-(c)</t>
  </si>
  <si>
    <t>OH-2</t>
  </si>
  <si>
    <t>Exhaust ventilation systems must have suitable dust collectors or other cleaning devices to prevent discharge of dangerous concentrations of contaminants to the outdoor air or to areas where personnel are present. Dust collector hoppers must be emptied and cleaned at appropriate intervals.</t>
  </si>
  <si>
    <t>Inspect 10% of dust collection systems (minimum 3 systems). For each: confirm the collection device (baghouse, cartridge filter, cyclone) is operating; clean or replace filter indicators show the filter is not plugged; the dust hopper is not overflowing; the collected material is being removed at appropriate intervals and disposed of safely. For gypsum dust collectors — confirm accumulated dust is not creating a combustible dust accumulation hazard.</t>
  </si>
  <si>
    <t>29 CFR 1910.94(a)(4)-(a)(5)</t>
  </si>
  <si>
    <t>OH-3</t>
  </si>
  <si>
    <t>Where spray finishing operations are conducted, they must be performed in a spray booth or spray room. The spray area must be ventilated, free of ignition sources, and equipped with appropriate fire protection.</t>
  </si>
  <si>
    <t>If spray finishing is conducted at this facility: confirm it is performed in a listed spray booth or spray room; the ventilation is operational and provides adequate air velocity across the work surface (generally 100 fpm); the area is free of open flames and non-explosion-proof electrical equipment; overspray and residues are cleaned at regular intervals.</t>
  </si>
  <si>
    <t>29 CFR 1910.94(c)(1)-(c)(9)</t>
  </si>
  <si>
    <t>HEARING CONSERVATION</t>
  </si>
  <si>
    <t>OH-4</t>
  </si>
  <si>
    <t>Hearing Conservation</t>
  </si>
  <si>
    <t>When employees are exposed to noise at or above an 8-hour time-weighted average (TWA) of 85 dBA (Action Level), the employer must implement a continuing, effective hearing conservation program (HCP).</t>
  </si>
  <si>
    <t>Request the facility's noise exposure monitoring records or industrial hygiene survey. Confirm noise monitoring has been conducted in areas where employees may be exposed at or above 85 dBA (production areas, compressor rooms, grinding operations). If no monitoring has been conducted and the facility has production equipment — document as a finding, as a manufacturing facility is highly likely to have employees exceeding the 85 dBA action level.</t>
  </si>
  <si>
    <t>29 CFR 1910.95(c)(1)-(c)(2)</t>
  </si>
  <si>
    <t>OH-5</t>
  </si>
  <si>
    <t>Noise monitoring must be conducted whenever there is indication that an employee's noise exposure may equal or exceed the 85 dBA action level. Monitoring results must be representative of employee noise exposures and must be repeated when production changes, process changes, or equipment changes may affect noise levels.</t>
  </si>
  <si>
    <t>Request noise monitoring records including monitoring dates, areas monitored, equipment used, employee dosimetry results, and dates of last re-monitoring. Confirm monitoring was repeated after any significant equipment additions or facility changes. Confirm employees notified of monitoring results have access to their individual exposure data.</t>
  </si>
  <si>
    <t>29 CFR 1910.95(d)(1)-(d)(2)</t>
  </si>
  <si>
    <t>OH-6</t>
  </si>
  <si>
    <t>Audiometric testing must be established and maintained for all employees whose noise exposures equal or exceed the 85 dBA action level. Tests must include a baseline audiogram within 6 months of first exposure and annual audiograms thereafter.</t>
  </si>
  <si>
    <t>Request audiometric testing records for 10% of employees in noise-exposed areas (minimum 10 employees). Confirm: a baseline audiogram was obtained within 6 months of first exposure (or prior to exposure if OATS is used); annual audiograms are on file for each year of employment in a noise-exposed area; the testing program is conducted by a licensed or certified audiologist, physician, or qualified technician using a calibrated audiometer.</t>
  </si>
  <si>
    <t>29 CFR 1910.95(g)(1)-(g)(9)</t>
  </si>
  <si>
    <t>OH-7</t>
  </si>
  <si>
    <t>When an audiogram reveals a Standard Threshold Shift (STS) — an average change in hearing threshold of 10 dB or more at 2000, 3000, and 4000 Hz — follow-up steps must be taken: retest within 30 days; refer to audiologist if the shift is persistent; fit with hearing protectors if not already using them; re-evaluate the hearing protectors if already being used.</t>
  </si>
  <si>
    <t>Ask the audiometric program administrator what the procedure is when an STS is identified. Request records of any STS cases in the past 3 years and confirm: the employee was notified in writing within 21 days; follow-up actions were documented; if hearing protection was already being used, the adequacy of the protector was re-evaluated.</t>
  </si>
  <si>
    <t>29 CFR 1910.95(g)(7)-(g)(9)</t>
  </si>
  <si>
    <t>OH-8</t>
  </si>
  <si>
    <t>Hearing protectors must be made available at no cost to all employees exposed at or above the action level (85 dBA TWA). Employees exposed at or above the PEL (90 dBA TWA) must use hearing protectors. Hearing protectors must provide adequate attenuation for the noise level.</t>
  </si>
  <si>
    <t>Walk to 10% of high-noise areas (minimum 3 areas). Confirm: hearing protectors are available and in use; the type and Noise Reduction Rating (NRR) of the hearing protectors is appropriate for the noise level in that area (at minimum, the NRR must reduce effective exposure below 90 dBA). Interview 10% of employees in noise-exposed areas (minimum 5): ask whether hearing protectors are available, how they know which type to use, and whether they wear them consistently.</t>
  </si>
  <si>
    <t>29 CFR 1910.95(i)(1)-(i)(3)</t>
  </si>
  <si>
    <t>OH-9</t>
  </si>
  <si>
    <t>A training program must be established for each employee whose exposures equal or exceed the 85 dBA action level. Training must be conducted annually and must cover: the effects of noise on hearing; the purpose, advantages, and limitations of hearing protectors; the purpose of audiometric testing; and the requirements of the standard.</t>
  </si>
  <si>
    <t>Request hearing conservation training records for 10% of noise-exposed employees (minimum 10 employees). Confirm: initial training was conducted before first exposure; annual retraining is documented; training covers all four required content areas. Interview 10% of trained employees (minimum 5): ask what the effects of long-term noise exposure are, what their NRR rating means, and when audiometric testing is required.</t>
  </si>
  <si>
    <t>29 CFR 1910.95(k)(1)-(k)(3)</t>
  </si>
  <si>
    <t>OH-10</t>
  </si>
  <si>
    <t>Noise exposure monitoring records, audiometric test results, background sound pressure levels used for audiometric testing, and hearing conservation program records must be retained for the duration of the employee's employment plus 3 years. Audiometric test results are retained for the duration of employment.</t>
  </si>
  <si>
    <t>Confirm record retention protocols — noise monitoring records for minimum 2 years; audiometric records for duration of employment. Confirm records are accessible to current employees and former employees upon request. Ask whether records for terminated employees are maintained for the required period.</t>
  </si>
  <si>
    <t>29 CFR 1910.95(m)(1)-(m)(3)</t>
  </si>
  <si>
    <t>MEDICAL SERVICES, FIRST AID &amp; EMERGENCY EYEWASH COMPLIANCE AUDIT</t>
  </si>
  <si>
    <t>29 CFR 1910.151; ANSI Z358.1 — Medical Services, First Aid &amp; Emergency Equipment. Prepared under attorney-client privilege.</t>
  </si>
  <si>
    <t>MEDICAL PERSONNEL &amp; FIRST AID</t>
  </si>
  <si>
    <t>MA-1</t>
  </si>
  <si>
    <t>Medical Personnel &amp; First Aid</t>
  </si>
  <si>
    <t>Medical personnel must be available to provide advice and consultation on matters of occupational health. At a minimum, the employer must have a formal relationship (physician, occupational health clinic, or licensed health professional) for referral and consultation.</t>
  </si>
  <si>
    <t>Confirm the facility has an identified occupational health provider or physician. Request the contract, letter of agreement, or documented relationship. Confirm the provider is familiar with the specific hazards at this facility (not just a general practitioner with no knowledge of the work environment).</t>
  </si>
  <si>
    <t>29 CFR 1910.151(a)</t>
  </si>
  <si>
    <t>MA-2</t>
  </si>
  <si>
    <t>In the absence of an infirmary, clinic, or hospital near the workplace that can be used for the treatment of injured employees, a person or persons must be adequately trained to render first aid. Adequate first aid supplies must be maintained and readily available.</t>
  </si>
  <si>
    <t>Confirm whether a hospital, clinic, or infirmary is within a reasonable distance of this facility (typically considered 3-4 minutes travel for life-threatening injuries). If not: confirm the number of employees per shift who are trained and certified first aid responders; confirm at least one first aid-trained person is present on every shift; request current CPR/first aid certification records for all designated responders. Confirm first aid supplies are present, accessible, and within their expiration dates.</t>
  </si>
  <si>
    <t>29 CFR 1910.151(b)</t>
  </si>
  <si>
    <t>MA-3</t>
  </si>
  <si>
    <t>First aid kits must be adequate for the hazards present at the facility. Contents must be tailored to the types of injuries that could occur and must be replaced after use. The kit must be inspected regularly.</t>
  </si>
  <si>
    <t>Inspect 10% of first aid kits (minimum 3 kits, including at least one remote/satellite kit far from the main first aid station). For each: confirm an inventory list is present; confirm all items on the inventory list are present and within expiration dates; confirm the kit has not been used and not restocked (check for empty wrappers or obviously depleted supplies); confirm the kit includes supplies appropriate for the chemical and physical hazards at this facility (e.g., burn gel if thermal burns are a hazard; chemical neutralizer if corrosive exposures are possible).</t>
  </si>
  <si>
    <t>ANSI Z308.1; 29 CFR 1910.151(b)</t>
  </si>
  <si>
    <t>EMERGENCY EYEWASH &amp; SHOWER EQUIPMENT</t>
  </si>
  <si>
    <t>MA-4</t>
  </si>
  <si>
    <t>Emergency Eyewash &amp; Shower Equipment</t>
  </si>
  <si>
    <t>Where the eyes or body of any person may be exposed to injurious corrosive materials, suitable facilities for quick drenching or flushing of the eyes and body must be provided within the work area for immediate emergency use.</t>
  </si>
  <si>
    <t>Walk to 10% of areas where corrosive chemicals (acids, caustics, strong oxidizers, chemical concentrates) are handled (minimum all such areas if fewer than 5). Confirm: an emergency eyewash station and/or safety shower is present within the immediate work area (10-second unobstructed travel distance per ANSI Z358.1); the path to the unit is clear and unobstructed; the unit is not locked or behind a barrier. For highly corrosive materials, confirm a combination eyewash/shower unit rather than an eyewash-only unit.</t>
  </si>
  <si>
    <t>29 CFR 1910.151(c); ANSI Z358.1-2014</t>
  </si>
  <si>
    <t>MA-5</t>
  </si>
  <si>
    <t>Emergency eyewash and shower units must be located on the same level as the hazard, with an unobstructed path requiring no more than 10 seconds of travel (approximately 55 feet for walking speed). Units must be in areas that are well-lit and conspicuously identified with a highly visible sign.</t>
  </si>
  <si>
    <t>For each eyewash/shower unit in the sample: (1) measure or pace the distance from the identified hazard to the unit — confirm it is within 55 feet on the same level; (2) time the travel from the hazard to the unit — confirm it can be reached in 10 seconds or less; (3) confirm the path requires no doors that could obstruct a person with impaired vision; (4) confirm the unit is identified with a visible, illuminated or highly contrasted sign.</t>
  </si>
  <si>
    <t>ANSI Z358.1-2014 4.4, 4.5, 4.6.2</t>
  </si>
  <si>
    <t>MA-6</t>
  </si>
  <si>
    <t>Eyewash units must deliver tepid flushing fluid (60-100°F / 15.5-37.8°C) at a minimum flow rate of 0.4 gallons per minute for at least 15 minutes. Safety showers must deliver tepid water at a minimum of 20 gallons per minute for at least 15 minutes. Gravity-fed units and self-contained units must have sufficient fluid capacity.</t>
  </si>
  <si>
    <t>Activate 10% of eyewash units (minimum all units if fewer than 5) during the audit — this is the weekly activation test. Confirm: the unit activates in 1 second or less; both eyewash heads deliver a controlled, gentle flow simultaneously; the water temperature is tepid (not scalding, not freezing — use a thermometer if possible); flow continues for 15 minutes without manual intervention. Note units that cannot sustain 15-minute flow.</t>
  </si>
  <si>
    <t>ANSI Z358.1-2014 5.4.4, 5.5.5</t>
  </si>
  <si>
    <t>MA-7</t>
  </si>
  <si>
    <t>Emergency eyewash and shower equipment must be activated weekly to verify proper operation and to flush the supply line. Annual inspections must be performed by a qualified person. Self-contained units must be checked to ensure adequate fluid supply and the fluid is not contaminated.</t>
  </si>
  <si>
    <t>Request weekly activation logs for 100% of eyewash and shower units for the past 3 months. Confirm: weekly activations are documented with date, unit location, and person performing the activation; units that failed the weekly test were taken out of service until repaired; annual inspection records are on file for each unit.</t>
  </si>
  <si>
    <t>ANSI Z358.1-2014 4.6.1, 4.6.3</t>
  </si>
  <si>
    <t>MA-8</t>
  </si>
  <si>
    <t>Employees who may be exposed to corrosive materials must be trained on the location and proper use of emergency eyewash and shower equipment and on the 15-minute flushing requirement.</t>
  </si>
  <si>
    <t>Interview 10% of employees who work with corrosive chemicals (minimum 5). Ask each: where is the nearest eyewash station? What do you do if you splash chemical in your eye? How long must you flush? The 15-minute flushing requirement is frequently unknown — employees often stop flushing after a few seconds. Also confirm employees know NOT to rub their eyes and to seek medical attention after flushing.</t>
  </si>
  <si>
    <t>ANSI Z358.1-2014 4.6.1</t>
  </si>
  <si>
    <t>WELDING, CUTTING &amp; BRAZING COMPLIANCE AUDIT</t>
  </si>
  <si>
    <t>29 CFR 1910.252-255 — Welding, Cutting &amp; Brazing. Prepared under attorney-client privilege.</t>
  </si>
  <si>
    <t>HOT WORK PROGRAM &amp; FIRE PREVENTION</t>
  </si>
  <si>
    <t>WC-1</t>
  </si>
  <si>
    <t>Hot Work Program &amp; Fire Prevention</t>
  </si>
  <si>
    <t>Cutting and welding operations must be authorized by a designated management representative. The authorizing person must inspect the area before work begins, confirm fire prevention measures are in place, and ensure work is only performed in authorized locations.</t>
  </si>
  <si>
    <t>Request the facility's hot work permit program. Confirm: a written hot work permit program exists and is being used; permits are issued before work begins (not after); the permit requires area inspection before and after the work; the permit identifies fire prevention measures in place (flammable materials removed or covered, fire watch assigned, fire extinguisher staged). Pull 10% of permits from the past 3 months (minimum 5) and confirm all required fields are completed.</t>
  </si>
  <si>
    <t>29 CFR 1910.252(a)(2)(xiv)-(a)(2)(xv)</t>
  </si>
  <si>
    <t>WC-2</t>
  </si>
  <si>
    <t>Fire watchers must be assigned whenever welding or cutting is performed near combustible materials that cannot be moved. The fire watcher must maintain watch during and for at least 30 minutes after welding/cutting is complete. Fire watchers must be trained in use of fire extinguishing equipment and in activating the facility alarm.</t>
  </si>
  <si>
    <t>Ask whether fire watches are required in the hot work permit program. Confirm fire watch requirements are triggered by the permit conditions checklist. Interview a fire watcher (or a welder who has had a fire watch): confirm the 30-minute post-work watch requirement is known and followed. Request training records for designated fire watchers.</t>
  </si>
  <si>
    <t>29 CFR 1910.252(a)(2)(ii)-(a)(2)(v)</t>
  </si>
  <si>
    <t>WC-3</t>
  </si>
  <si>
    <t>Welding, cutting, or heating must not be performed on or near containers that held flammable substances, on drums or tanks with unknown contents, in areas with explosive atmospheres, or on pipes or systems that contain or carried flammable gases or liquids — unless specific cleaning and testing procedures have been completed.</t>
  </si>
  <si>
    <t>Ask the maintenance manager and welders: 'What is the procedure before welding on a tank, drum, or pipe that previously contained a flammable or unknown substance?' Confirm a documented cleaning and testing procedure exists (purging, blanking, atmospheric testing). Review any hot work permits for work on piping or vessels — confirm tank/vessel cleaning certification was attached when required.</t>
  </si>
  <si>
    <t>29 CFR 1910.252(a)(2)(vii)-(a)(2)(xii),(a)(3)</t>
  </si>
  <si>
    <t>WC-4</t>
  </si>
  <si>
    <t>Suitable fire extinguishing equipment must be maintained for immediate use whenever welding or cutting is performed. Ducts, conveyor systems, and other equipment that might carry sparks or slag must be protected or shut down before welding begins.</t>
  </si>
  <si>
    <t>Observe an active welding or cutting operation, or walk to a designated welding area. Confirm: a fire extinguisher is present and within the immediate area (not across the building); the extinguisher is appropriate for the likely fire class; any conveyor belts, pneumatic conveyors, or ductwork near the work area are shut down or protected during welding. Ask the welder where the nearest fire extinguisher is — they should know without looking.</t>
  </si>
  <si>
    <t>29 CFR 1910.252(a)(2)(i),(a)(2)(x)</t>
  </si>
  <si>
    <t>WELDING PPE &amp; HEALTH PROTECTION</t>
  </si>
  <si>
    <t>WC-5</t>
  </si>
  <si>
    <t>Welding PPE &amp; Health Protection</t>
  </si>
  <si>
    <t>Welders and helpers must be equipped with proper eye and face protection. Filter lens shade numbers must be appropriate for the welding or cutting process. Appropriate shades: SMAW 60-160A = shade 10; SMAW 160-250A = shade 12; MIG = shade 10-13; gas welding/brazing = shade 4-8; oxygen cutting = shade 3-6.</t>
  </si>
  <si>
    <t>Inspect the PPE worn by or available to welders in 10% of welding/cutting areas (minimum 3 areas). Confirm: welding helmets with appropriate filter lenses are present; the shade number matches the process being performed; auto-darkening helmets meet ANSI Z87.1 and are tested for proper darkening; additional helpers or nearby workers are using flash goggles or shade 2-3 spectacles; welding areas are screened to protect adjacent employees.</t>
  </si>
  <si>
    <t>29 CFR 1910.252(b)(2)(i)-(b)(2)(iii)</t>
  </si>
  <si>
    <t>WC-6</t>
  </si>
  <si>
    <t>Protective clothing must be provided and used during welding and cutting operations. Clothing must protect against sparks, spatter, and radiant heat. Combustible or synthetic fabrics must not be worn during welding operations without protective outerwear.</t>
  </si>
  <si>
    <t>Observe welders in 10% of active welding areas (minimum 3 areas). Confirm: welding jackets or leather sleeves are worn; pants have no cuffs (cuffs catch sparks); leather boots or high-top footwear is worn; gloves appropriate for the operation are used; shirts are not made of synthetic fabrics without FR protective outerwear over them.</t>
  </si>
  <si>
    <t>29 CFR 1910.252(b)(3)(i)-(b)(3)(ii)</t>
  </si>
  <si>
    <t>WC-7</t>
  </si>
  <si>
    <t>Local exhaust ventilation or general ventilation must be provided to keep concentrations of welding fumes, gases, and mists below the applicable PEL/TLV. Welding in confined spaces requires special ventilation attention and atmospheric monitoring.</t>
  </si>
  <si>
    <t>Walk to 10% of welding and cutting areas (minimum 3 areas). Confirm: local exhaust ventilation (LEV) is present at welding stations where fumes could accumulate; LEV hoods are positioned close to the source and operating; general ventilation is adequate in larger areas. For any welding performed in or near confined spaces — confirm atmospheric monitoring is conducted before and during welding. Ask whether any employees have complained of headaches, dizziness, or eye/throat irritation during welding — these are symptoms of inadequate ventilation.</t>
  </si>
  <si>
    <t>29 CFR 1910.252(c)(1)-(c)(10)</t>
  </si>
  <si>
    <t>WC-8</t>
  </si>
  <si>
    <t>Materials used in cutting, welding, and brazing must be included in the employer's Hazard Communication program and must be properly labeled. Welding consumables (rods, wire, flux, gases) must have SDSs available.</t>
  </si>
  <si>
    <t>Confirm SDSs are available for 10% of welding consumables in use (minimum 5 SDSs — e.g., welding rods, flux, shielding gas, anti-spatter spray). Confirm SDSs are in the 16-section GHS format and accessible in the welding area. Review the HazCom chemical inventory — confirm welding consumables are included.</t>
  </si>
  <si>
    <t>29 CFR 1910.252(a)(4),(a)(5)</t>
  </si>
  <si>
    <t>GAS CYLINDERS FOR WELDING &amp; CUTTING</t>
  </si>
  <si>
    <t>WC-9</t>
  </si>
  <si>
    <t>Gas Cylinders for Welding &amp; Cutting</t>
  </si>
  <si>
    <t>Compressed gas cylinders used for welding and cutting must be stored, handled, and used safely. Oxygen and fuel gas cylinders must be stored separately. Cylinders must be secured, capped when not in use, and used through listed regulators only.</t>
  </si>
  <si>
    <t>Walk to 10% of gas welding/cutting stations and cylinder storage areas (minimum 3 locations). Confirm: oxygen and fuel gas (acetylene, propane) are stored at least 20 feet apart or separated by a 5-foot fire-rated noncombustible partition; cylinders are secured vertically with a chain or strap; valve caps are on all cylinders not in immediate use; regulators are attached only to cylinders with compatible fittings; cylinders are not used as an electrical ground.</t>
  </si>
  <si>
    <t>29 CFR 1910.253(b)(2)-(b)(6)</t>
  </si>
  <si>
    <t>WC-10</t>
  </si>
  <si>
    <t>Acetylene must not be used at pressures exceeding 15 psig. Acetylene hoses must not be interchanged with oxygen hoses. Hose connections must be leak-tested before use with soapy water or an approved leak detection solution — not with open flame.</t>
  </si>
  <si>
    <t>Ask welders who use oxy-acetylene equipment: 'What is the maximum working pressure for acetylene?' (Answer: 15 psig). Inspect 10% of oxy-acetylene setups (minimum 3 setups): confirm regulators show working pressures at or below 15 psig for acetylene; hoses are properly color-coded (red for fuel gas, green for oxygen, or confirm labeling); no hose-to-hose adapters are in use that could cross-connect oxygen and fuel gas; hose connections are checked for leaks with soapy water (never an open flame).</t>
  </si>
  <si>
    <t>29 CFR 1910.253(b)(5),(e)(5)-(e)(7)</t>
  </si>
  <si>
    <t>BLOODBORNE PATHOGENS &amp; SANITATION COMPLIANCE AUDIT</t>
  </si>
  <si>
    <t>29 CFR 1910.1030, 1910.141, 1910.144-145 — Bloodborne Pathogens, Sanitation &amp; Safety Signs. Prepared under attorney-client privilege.</t>
  </si>
  <si>
    <t>BLOODBORNE PATHOGENS — EXPOSURE CONTROL</t>
  </si>
  <si>
    <t>BP-1</t>
  </si>
  <si>
    <t>Bloodborne Pathogens — Exposure Control</t>
  </si>
  <si>
    <t>Employers whose employees have occupational exposure (reasonably anticipated contact with blood or other potentially infectious materials — OPIM) must prepare a written Exposure Control Plan (ECP). The ECP must be accessible to employees, reviewed and updated at least annually, and updated whenever new tasks, procedures, or positions are created that affect occupational exposure.</t>
  </si>
  <si>
    <t>Confirm whether any employees at this facility have occupational exposure (first aid responders, medical personnel, employees who may provide emergency care). If yes: request the written ECP; confirm it includes an exposure determination (job classifications and tasks with occupational exposure); confirm the ECP was reviewed within the past 12 months; confirm it includes the schedule for implementing each provision of the bloodborne pathogens standard.</t>
  </si>
  <si>
    <t>29 CFR 1910.1030(c)(1)-(c)(3)</t>
  </si>
  <si>
    <t>BP-2</t>
  </si>
  <si>
    <t>Engineering controls (sharps disposal containers, self-sheathing needles, safer medical devices) and work practice controls must be established and used to eliminate or minimize employee exposure. Engineering controls must be examined and maintained on a regular schedule.</t>
  </si>
  <si>
    <t>If applicable to this facility: confirm sharps containers are present in all areas where sharps are used or generated; containers are puncture-resistant, leak-proof, and labeled with the biohazard symbol; containers are replaced when 3/4 full (not overflowing); no recapping of used needles by two-handed method. Confirm hand washing facilities are immediately accessible after any potential exposure.</t>
  </si>
  <si>
    <t>29 CFR 1910.1030(d)(2)(i)-(d)(2)(ix)</t>
  </si>
  <si>
    <t>BP-3</t>
  </si>
  <si>
    <t>Personal protective equipment (gloves, gowns, face shields, eye protection, resuscitation devices) must be provided at no cost to employees with occupational exposure and must be available in appropriate sizes.</t>
  </si>
  <si>
    <t>Confirm the type and quantity of BBP PPE available to designated first aid responders. Confirm: latex-free alternatives are available for employees with latex allergies; resuscitation devices (face shields, bag-valve masks) are available to first aid providers; PPE is accessible at all locations where first aid may be provided.</t>
  </si>
  <si>
    <t>29 CFR 1910.1030(d)(3)(i)-(d)(3)(iii)</t>
  </si>
  <si>
    <t>BP-4</t>
  </si>
  <si>
    <t>Hepatitis B vaccination must be made available to all employees who have occupational exposure, at no cost to the employee, after training and within 10 working days of initial assignment to tasks with occupational exposure.</t>
  </si>
  <si>
    <t>Request Hepatitis B vaccination records for 100% of employees with occupational exposure (first aid responders). Confirm each employee was offered the vaccine series within 10 working days of assignment to their first aid role. If an employee declined, confirm a signed declination form is on file. Confirm the employer paid for the vaccine.</t>
  </si>
  <si>
    <t>29 CFR 1910.1030(f)(1)-(f)(2)</t>
  </si>
  <si>
    <t>BP-5</t>
  </si>
  <si>
    <t>Employers must provide post-exposure evaluation and follow-up at no cost to any employee who experiences an exposure incident. The follow-up must include documentation of the route of exposure, identification of the source individual, collection and testing of the exposed employee's blood, post-exposure prophylaxis, counseling, and evaluation of reported illnesses.</t>
  </si>
  <si>
    <t>Request the post-exposure follow-up procedure. Confirm: a documented procedure exists for responding to an exposure incident; the procedure identifies the healthcare facility for post-exposure evaluation; the employer pays for all evaluation and follow-up. Ask the safety manager or first aid coordinator to walk through what they would do immediately after a first aid provider experienced a needlestick — the procedure should be known without referencing a manual.</t>
  </si>
  <si>
    <t>29 CFR 1910.1030(f)(3)-(f)(4)</t>
  </si>
  <si>
    <t>BLOODBORNE PATHOGENS — TRAINING &amp; RECORDS</t>
  </si>
  <si>
    <t>BP-6</t>
  </si>
  <si>
    <t>Bloodborne Pathogens — Training &amp; Records</t>
  </si>
  <si>
    <t>Training must be provided to employees with occupational exposure at initial assignment and annually thereafter. Training must include explanation of the ECP, methods to recognize tasks that involve exposure, use of engineering controls and PPE, hepatitis B vaccine information, post-exposure procedures, and signs and labels.</t>
  </si>
  <si>
    <t>Request BBP training records for 100% of employees with occupational exposure. Confirm: initial training was provided before first exposure; annual retraining records exist; training was conducted by or under the supervision of a person knowledgeable in the subject matter. Interview a designated first aid responder: ask what they do if they are splashed with blood, whether the hepatitis B vaccine was offered to them, and where the PPE is kept.</t>
  </si>
  <si>
    <t>29 CFR 1910.1030(g)(2)(i)-(g)(2)(ix)</t>
  </si>
  <si>
    <t>BP-7</t>
  </si>
  <si>
    <t>Medical records for each employee with occupational exposure must be maintained, including hepatitis B vaccination records, post-exposure follow-up documentation, and a copy of each employee's healthcare professional's written opinion. Training records must be maintained for 3 years.</t>
  </si>
  <si>
    <t>Confirm medical and training records are maintained and confidential. Confirm medical records are retained for the duration of employment plus 30 years (per 29 CFR 1910.1020). Confirm training records are retained for 3 years from the training date. Confirm records are not shared without employee consent (medical privacy).</t>
  </si>
  <si>
    <t>29 CFR 1910.1030(h)(1)-(h)(2)</t>
  </si>
  <si>
    <t>WORKPLACE SANITATION</t>
  </si>
  <si>
    <t>BP-8</t>
  </si>
  <si>
    <t>Workplace Sanitation</t>
  </si>
  <si>
    <t>Permanent places of employment must be kept clean. Floors must be cleaned regularly and kept free of liquid, refuse, and spills. Waste must be disposed of regularly to avoid health hazards.</t>
  </si>
  <si>
    <t>Walk to 10% of production, maintenance, break room, and restroom areas (minimum 5 areas). Document sanitation conditions: debris or trash accumulations; liquid spills or standing water; evidence of pest activity; food or beverages in non-designated areas. Confirm a written housekeeping program or cleaning schedule exists and is being followed.</t>
  </si>
  <si>
    <t>29 CFR 1910.141(a)(1)-(a)(5)</t>
  </si>
  <si>
    <t>BP-9</t>
  </si>
  <si>
    <t>A sanitary potable water supply must be provided for drinking, washing, cooking, and washing food. The supply must be from an approved source. Shared drinking cups or non-single-use drinking utensils are prohibited.</t>
  </si>
  <si>
    <t>Confirm the potable water supply is from an approved source (municipal water system or tested well). Walk to drinking water stations in 10% of work areas (minimum 3 locations): confirm dispensers are clean; no shared cups or community dipping cups are in use; drinking fountains are clean and operational; water coolers/dispensers are maintained and cleaned regularly.</t>
  </si>
  <si>
    <t>29 CFR 1910.141(b)(1)-(b)(2)</t>
  </si>
  <si>
    <t>BP-10</t>
  </si>
  <si>
    <t>Separate and adequate toilet facilities must be provided. Minimum requirements: 1 toilet for 1-15 employees; 2 toilets for 16-35 employees; 3 toilets for 36-55 employees; 4 for 56-80; 5 for 81-110; 6 for 111-150; 1 additional for each additional 40 employees. Facilities must be maintained in a clean, sanitary condition.</t>
  </si>
  <si>
    <t>Count the total number of toilet facilities (men's and women's combined) available to employees and compare to the workforce size using the table above. Walk to 10% of restroom facilities (minimum 2). Confirm: facilities are clean; hand washing soap, water, and drying means (paper towels or air dryer) are present; facilities are in working order; no urinals are inoperable.</t>
  </si>
  <si>
    <t>29 CFR 1910.141(c)(1)(i)-(c)(1)(iii)</t>
  </si>
  <si>
    <t>BP-11</t>
  </si>
  <si>
    <t>Washing facilities must be provided near toilet facilities and in any area where employees are exposed to skin-contaminating or skin-absorbing substances. Facilities must include adequate supplies of soap and single-use towels or warm air blowers.</t>
  </si>
  <si>
    <t>Walk to 10% of handwashing stations in production areas, near restrooms, and near first aid locations (minimum 5 stations). Confirm: soap is present and dispensed properly; drying means (paper towels, air dryer) are available; hot and cold running water is provided; eyewash stations in chemical areas are distinct from handwashing facilities and clearly marked.</t>
  </si>
  <si>
    <t>29 CFR 1910.141(d)(1)-(d)(3)</t>
  </si>
  <si>
    <t>BP-12</t>
  </si>
  <si>
    <t>Food and beverages must not be consumed or stored in areas exposed to toxic or harmful materials. Change rooms must be provided where employees wear contaminated work clothing and the employer requires removal of clothing before leaving. Work clothing provided by the employer must be laundered by the employer, not taken home.</t>
  </si>
  <si>
    <t>Walk to 10% of production areas and confirm no food, beverages, or personal items are stored or consumed in areas where chemical or biological exposures exist. If contaminated work clothing is used: confirm change rooms are provided with separate storage for clean and contaminated clothing; confirm the employer's process for laundering contaminated clothing does not require employees to take it home.</t>
  </si>
  <si>
    <t>29 CFR 1910.141(e)-(g)</t>
  </si>
  <si>
    <t>SAFETY COLOR CODES &amp; SIGNS</t>
  </si>
  <si>
    <t>BP-13</t>
  </si>
  <si>
    <t>Safety Color Codes &amp; Signs</t>
  </si>
  <si>
    <t>Physical hazards must be marked using specific colors for identification: RED — fire protection equipment, danger signs, emergency stop; ORANGE — dangerous parts of machines, energized electrical equipment; YELLOW — caution, physical hazards, striking hazards, unstable surfaces; GREEN — safety/first aid; BLUE — information/caution against starting equipment under repair; FLUORESCENT ORANGE/ORANGE-RED — biological hazards.</t>
  </si>
  <si>
    <t>Walk to 10% of areas with physical hazards (minimum 5 areas). Confirm color coding is consistent and correct: fire extinguishers marked in red; machine guards and nip points in orange; floor markings for caution areas in yellow; first aid kits and eye wash stations in green; lockout tags in appropriate colors. Note any non-standard color coding that could cause confusion.</t>
  </si>
  <si>
    <t>29 CFR 1910.144(a)(1)-(a)(3)</t>
  </si>
  <si>
    <t>BP-14</t>
  </si>
  <si>
    <t>Accident prevention signs and tags must meet ANSI Z535.2 (signs) and Z535.5 (tags) design requirements. Signs must use appropriate signal words: DANGER (immediate hazard causing death or serious injury); WARNING (hazard that could cause death or serious injury); CAUTION (minor injury hazard); NOTICE (general information). Tags must contain a signal word and a major message describing the hazard.</t>
  </si>
  <si>
    <t>Walk to 10% of hazard-identified areas (minimum 5 areas). Confirm: sign signal words match the severity of the hazard they describe (a CAUTION sign on a fatal fall hazard is deficient — must be DANGER); signs are posted where visible before reaching the hazard; lockout/tagout tags contain both a signal word and a description of the hazard; signs are not defaced, faded, or obscured.</t>
  </si>
  <si>
    <t>29 CFR 1910.145(a)-(f)</t>
  </si>
  <si>
    <t>STATE PLAN — SUPPLEMENTAL REQUIREMENTS</t>
  </si>
  <si>
    <t>State-specific requirements supplementing federal OSHA standards. Complete in addition to all applicable federal audit tabs when auditing in a state plan jurisdiction. Prepared under attorney-client privilege.</t>
  </si>
  <si>
    <t>STATE / JURISDICTION:</t>
  </si>
  <si>
    <t>← Set in Pre-Audit Scoping tab, Section 1 (Row 17)</t>
  </si>
  <si>
    <t>Section Tab</t>
  </si>
  <si>
    <t>Requirement (summary)</t>
  </si>
  <si>
    <t>Sort Key</t>
  </si>
  <si>
    <t>Walking &amp; Working Surfaces</t>
  </si>
  <si>
    <t>Egress &amp; Emergency Action</t>
  </si>
  <si>
    <t>Fire Protection &amp; Alarms</t>
  </si>
  <si>
    <t>Forklifts &amp; Materials</t>
  </si>
  <si>
    <t>Cranes, Hoists &amp; Rigging</t>
  </si>
  <si>
    <t>State Requirements</t>
  </si>
  <si>
    <t>State</t>
  </si>
  <si>
    <t>Seq</t>
  </si>
  <si>
    <t>Item_ID</t>
  </si>
  <si>
    <t>Evidence_to_Look_For</t>
  </si>
  <si>
    <t>Max_Score</t>
  </si>
  <si>
    <t>_LookupKey</t>
  </si>
  <si>
    <t>SP-CA-01</t>
  </si>
  <si>
    <t>IIPP</t>
  </si>
  <si>
    <t>All California employers must maintain a written Injury and Illness Prevention Program (IIPP) addressing: (1) employer and employee responsibilities; (2) hazard identification and correction system; (3) safety communication system; (4) employee compliance procedures; (5) training; and (6) recordkeeping. The IIPP must be specific to this facility and must be kept on-site.</t>
  </si>
  <si>
    <t>Request the written IIPP. Confirm: (1) it is site-specific, not a generic template; (2) it identifies a person responsible for implementing the program; (3) it includes a system for identifying and correcting hazards; (4) it includes an employee training program; (5) it is maintained and updated when hazards change. Sample 10% of employees for awareness of the IIPP.</t>
  </si>
  <si>
    <t>Title 8 CCR §3203</t>
  </si>
  <si>
    <t>SP-CA-02</t>
  </si>
  <si>
    <t>Heat Illness — Outdoor</t>
  </si>
  <si>
    <t>When employees perform outdoor work with a heat index at or above 80°F, the employer must: (1) provide fresh, pure drinking water (1 qt/hour per employee); (2) provide access to shade when employees request it or when temperature exceeds 95°F (shade must accommodate all employees on a break simultaneously); (3) allow and encourage cool-down rest periods of at least 5 minutes when employee feels the need; (4) have emergency response procedures; (5) provide heat illness prevention training to employees and supervisors; (6) maintain a written Heat Illness Prevention Plan.</t>
  </si>
  <si>
    <t>Request the written Heat Illness Prevention Plan. Verify it is specific to this facility and work conditions. Confirm: water supply is on-site and accessible; shade structures exist or portable shade is available; supervisors can demonstrate understanding of symptom recognition and first-response procedures for heat illness; training records exist for all employees working outdoors. Observe any outdoor work areas during audit.</t>
  </si>
  <si>
    <t>Title 8 CCR §3395</t>
  </si>
  <si>
    <t>SP-CA-03</t>
  </si>
  <si>
    <t>Heat Illness — Indoor</t>
  </si>
  <si>
    <t>Effective January 1, 2024: California's indoor heat illness prevention standard applies when indoor workplace temperatures reach or are expected to reach 82°F or above. Requirements include: (1) cool-down areas at a temperature below 82°F when indoor temps reach 82°F; (2) access to cool drinking water; (3) a written Indoor Heat Illness Prevention Plan; (4) training for all employees and supervisors; (5) acclimatization protocols for new and returning employees; (6) emergency response procedures.</t>
  </si>
  <si>
    <t>Assess whether any indoor work areas may reach 82°F during operations (consider furnaces, compressors, foundry operations, boiler rooms, areas near heat-emitting processes). If applicable: request the written Indoor Heat Illness Prevention Plan; verify cool-down areas are designated and accessible; confirm water is available; verify training records. Ask supervisors to describe their procedure when a worker shows signs of heat illness.</t>
  </si>
  <si>
    <t>Title 8 CCR §3396</t>
  </si>
  <si>
    <t>SP-CA-04</t>
  </si>
  <si>
    <t>Ergonomics / RMI</t>
  </si>
  <si>
    <t>When two or more employees performing the same or similar job tasks experience work-related repetitive motion injuries (RMIs) diagnosed by a licensed physician within a 12-month period, the employer must implement a Repetitive Motion Injury (RMI) Prevention Program. The program must include: (1) a worksite evaluation; (2) control of exposures that caused the RMIs; and (3) training of employees and supervisors.</t>
  </si>
  <si>
    <t>Review OSHA 300 log and workers' compensation records for the past 12 months. Identify any RMI/ergonomic injuries (sprains, strains, carpal tunnel, tendinitis). If two or more employees in similar job tasks reported RMIs: confirm a written RMI prevention program exists; confirm worksite evaluations were conducted for the identified jobs; confirm engineering or administrative controls were implemented; verify training records. High-risk tasks to look for: repetitive hand/wrist motions, sustained awkward postures, heavy manual material handling.</t>
  </si>
  <si>
    <t>Title 8 CCR §5110</t>
  </si>
  <si>
    <t>SP-CA-05</t>
  </si>
  <si>
    <t>Workplace Violence Prevention</t>
  </si>
  <si>
    <t>Effective July 1, 2024 (SB 553): ALL California employers must: (1) develop and implement a written Workplace Violence Prevention Plan (WVPP); (2) establish and maintain a violent incident log; (3) provide training on the WVPP to employees; (4) review the WVPP after each violent incident or threat. The WVPP must include: hazard identification procedures, reporting procedures, incident response, post-incident review, and employee involvement.</t>
  </si>
  <si>
    <t>Request the written Workplace Violence Prevention Plan. Confirm: it was developed after July 1, 2024; it identifies a person responsible for implementation; it includes a procedure for employees to report threats without fear of retaliation; a violent incident log is being maintained (even if no incidents have occurred, the log must exist); training was provided to all employees and documented. Ask a random sample of 3 employees: 'Do you know how to report a threat or violent incident?'</t>
  </si>
  <si>
    <t>CA Labor Code §6401.9; SB 553</t>
  </si>
  <si>
    <t>SP-CA-06</t>
  </si>
  <si>
    <t>Recordkeeping — Cal/OSHA</t>
  </si>
  <si>
    <t>California employers must use Cal/OSHA-specific recordkeeping forms (Cal/OSHA Form 300, 300A, 301) which are identical in format to federal forms. Establishments with 250+ employees OR establishments in NAICS codes identified by Cal/OSHA must electronically submit Form 300A data annually. The Cal/OSHA 300 log must be posted from February 1 through April 30 each year.</t>
  </si>
  <si>
    <t>Request the facility's Cal/OSHA 300 log and 300A summary. Confirm Cal/OSHA-specific forms are used (not just the federal OSHA form). For facilities with 250+ employees: confirm electronic submission was completed for the most recent calendar year; request submission confirmation documentation. Verify 300A is posted during the February–April window (check for prior year posted copy).</t>
  </si>
  <si>
    <t>Title 8 CCR §14300-14400</t>
  </si>
  <si>
    <t>SP-CA-07</t>
  </si>
  <si>
    <t>HazCom &amp; Proposition 65</t>
  </si>
  <si>
    <t>California's Hazardous Substances Information and Training Act (Labor Code §6360 et seq.) requires that employers provide employees with information on hazardous substances present in the workplace, supplementing federal HazCom. Additionally, Proposition 65 (Health &amp; Safety Code §25249.6) requires businesses with 10+ employees to provide 'clear and reasonable warnings' before knowingly exposing anyone to chemicals on the Proposition 65 list at workplace locations where exposure occurs.</t>
  </si>
  <si>
    <t>Verify that SDS/training programs cover all California-listed hazardous substances (verify against California Hazardous Substance List). For facilities with 10+ employees: identify any Proposition 65 listed chemicals present on-site (common examples: lead, benzene, crystalline silica, diesel engine exhaust, formaldehyde, chromium compounds); confirm Prop 65 warning signs are posted at areas where exposure may occur if the chemical is present above the NSRL. Request a Prop 65 exposure assessment if none exists.</t>
  </si>
  <si>
    <t>CA Lab. Code §6360-6399.7; H&amp;S Code §25249.6</t>
  </si>
  <si>
    <t>SP-CA-08</t>
  </si>
  <si>
    <t>Cal/OSHA PELs</t>
  </si>
  <si>
    <t>California OSHA has established Permissible Exposure Limits (PELs) that are more stringent than federal OSHA for several substances. California's PEL table (Title 8 CCR §5155, Table AC-1) contains PELs for substances not regulated at the federal level and lower limits for regulated substances. Any chemical present in the workplace must be evaluated against California's Table AC-1, not just federal OSHA's Z-1 table.</t>
  </si>
  <si>
    <t>Obtain the facility's industrial hygiene exposure data (monitoring records, third-party IH assessments) for the past 3 years. Compare any measured air contaminant concentrations against California Table AC-1 limits, not just federal PELs. Priority chemicals to verify: silica (Cal/OSHA has a distinct PEL at 0.1 mg/m3 RCS), lead (more stringent action level), asbestos, benzene. Confirm the facility's IH program uses California PELs as the compliance benchmark.</t>
  </si>
  <si>
    <t>Title 8 CCR §5155, Table AC-1</t>
  </si>
  <si>
    <t>SP-CA-09</t>
  </si>
  <si>
    <t>Confined Spaces — Title 8</t>
  </si>
  <si>
    <t>California's confined space standard (Title 8 CCR §5157) is substantively equivalent to federal 29 CFR 1910.146 but Cal/OSHA enforcement historically requires more detailed permit documentation. Cal/OSHA inspectors frequently cite facilities for: atmospheric monitoring data not recorded with actual readings on the permit, attendant and supervisor names not signed on the permit, and rescue equipment not matching the specific space hazard profile.</t>
  </si>
  <si>
    <t>Review 10% of canceled confined space entry permits from the past 12 months. In addition to the 15 required federal elements, verify: actual atmospheric readings (numbers, not checkmarks) are recorded; the instrument type and calibration date are documented on or with the permit; the entry supervisor signed the permit before entry was authorized (not after); rescue service contact info is a specific phone number, not 'call 911'. Compare against federal CS audit findings to identify any Cal/OSHA-specific gaps.</t>
  </si>
  <si>
    <t>Title 8 CCR §5157</t>
  </si>
  <si>
    <t>SP-CA-10</t>
  </si>
  <si>
    <t>Required Postings</t>
  </si>
  <si>
    <t>California employers must display a specific set of required posters and notices that supplement federal posting requirements. Missing or outdated Cal/OSHA and state labor postings are routinely cited during inspections.</t>
  </si>
  <si>
    <t>Confirm the following California-required postings are current, legible, and posted in a conspicuous location where all employees can access them: (1) Cal/OSHA 'Safety and Health Protection on the Job' poster; (2) IWC Wage Order for the applicable industry (e.g., IWC Order 1 for manufacturing); (3) Notice to Employees — Workers' Compensation; (4) Paid Sick Leave notice; (5) DFEH poster on employment discrimination; (6) Payday Notice. Confirm all postings are current versions (check publication year on each poster).</t>
  </si>
  <si>
    <t>Cal. Lab. Code §3550, §247.5; Title 8 CCR §340</t>
  </si>
  <si>
    <t>Michigan (MIOSHA)</t>
  </si>
  <si>
    <t>SP-MI-01</t>
  </si>
  <si>
    <t>Written Safety &amp; Health Program</t>
  </si>
  <si>
    <t>All Michigan employers must develop, maintain, and administer a written Safety and Health Program. The program must address: (1) goals and objectives; (2) identification of persons responsible for safety; (3) procedures for identifying and correcting hazards; (4) employee training; and (5) a system for encouraging employee reporting of hazards. The program must be made available to employees.</t>
  </si>
  <si>
    <t>Request the facility's written Safety and Health Program. Confirm: it is site-specific (not a generic template); a named individual is designated as responsible; a hazard identification/correction process is documented; training is addressed; employees can access the program. Interview 2–3 employees to verify awareness of the program and the designated safety contact.</t>
  </si>
  <si>
    <t>R 408.10015</t>
  </si>
  <si>
    <t>SP-MI-02</t>
  </si>
  <si>
    <t>Injury Reporting — MIOSHA</t>
  </si>
  <si>
    <t>Michigan requires employers to report all workplace fatalities and any in-patient hospitalization, amputation, or loss of an eye to MIOSHA within 24 hours of learning of the incident. This mirrors federal OSHA thresholds. Confirm the facility knows the correct MIOSHA reporting contact and has it accessible to supervisors.</t>
  </si>
  <si>
    <t>Verify that supervisors and the EHS/safety function know the MIOSHA emergency reporting hotline and reporting obligation. Confirm reporting thresholds are documented in the EAP or similar procedure: fatality or imminent-danger hospitalization within 8 hours; in-patient hospitalization/amputation/eye loss within 24 hours. Review any incidents in the past 12 months and confirm required notifications were made.</t>
  </si>
  <si>
    <t>MIOSHA Act §14(1); R 408.22001</t>
  </si>
  <si>
    <t>SP-MI-03</t>
  </si>
  <si>
    <t>MIOSHA Required Posting</t>
  </si>
  <si>
    <t>Michigan employers must display the Michigan OSHA (MIOSHA) 'Michigan Safety and Health Programs' poster in a conspicuous location accessible to employees. This is a Michigan-specific poster that supplements but does not replace the federal OSHA poster.</t>
  </si>
  <si>
    <t>Confirm the MIOSHA-specific poster is posted at each facility entrance or primary employee gathering area. The poster must be current (check publication year). Confirm the federal OSHA poster is also posted (both are required). MIOSHA posters are available at no charge from MIOSHA at michigan.gov/leo/miosha.</t>
  </si>
  <si>
    <t>MIOSHA Act §20; R 408.10001</t>
  </si>
  <si>
    <t>SP-MI-04</t>
  </si>
  <si>
    <t>Right-to-Know</t>
  </si>
  <si>
    <t>Michigan's Employee Right-to-Know rules supplement federal HazCom. Michigan employees have the right to: (1) obtain a copy of any MSDS/SDS for any chemical they are exposed to; (2) see exposure records; (3) receive information about the identity and health effects of hazardous substances; (4) access the facility's chemical inventory. The employer must not interfere with the exercise of these rights.</t>
  </si>
  <si>
    <t>Confirm that the facility's HazCom program includes a documented process for employees to request and receive SDS copies. Verify SDSs are accessible during all work shifts (not locked in a supervisor's office). Interview 2–3 employees: 'If you wanted to see the safety data sheet for a chemical you use, how would you get it?' Confirm the chemical inventory is current and accessible.</t>
  </si>
  <si>
    <t>R 408.1951-R 408.1975</t>
  </si>
  <si>
    <t>SP-MI-05</t>
  </si>
  <si>
    <t>Employee Rights During Inspection</t>
  </si>
  <si>
    <t>During a MIOSHA inspection, employees have the right to have an authorized employee representative accompany the MIOSHA compliance officer on the walkaround. The employer must notify employees of a MIOSHA inspection and cannot retaliate against employees who cooperate with MIOSHA or who report workplace hazards.</t>
  </si>
  <si>
    <t>Confirm that supervisors and the EHS function are aware of employee walkaround rights during MIOSHA inspections. Review the facility's response procedures for MIOSHA inspections. Confirm no adverse actions were taken against employees who reported safety concerns or participated in prior MIOSHA inspections (review any MIOSHA discrimination complaints or internal corrective actions in prior 12 months).</t>
  </si>
  <si>
    <t>MIOSHA Act §65(2); R 408.10015(6)</t>
  </si>
  <si>
    <t>SP-MI-06</t>
  </si>
  <si>
    <t>First Aid Coverage</t>
  </si>
  <si>
    <t>Michigan requires that at least one employee trained in first aid and CPR is available on each work shift at locations where medical services are not available within a reasonable proximity. Training must be provided at no cost to the employee and must be kept current.</t>
  </si>
  <si>
    <t>Confirm the number of employees trained in first aid/CPR per shift. Verify: current training records exist; training was provided at employer expense; the nearest hospital or emergency medical service response time has been evaluated to determine whether on-site first aid capability is required. At manufacturing sites, if response time exceeds 3–4 minutes, trained first aid personnel on each shift is expected.</t>
  </si>
  <si>
    <t>R 408.13205</t>
  </si>
  <si>
    <t>Washington (WISHA)</t>
  </si>
  <si>
    <t>SP-WA-01</t>
  </si>
  <si>
    <t>Accident Prevention Program</t>
  </si>
  <si>
    <t>All Washington employers must develop and implement a written Accident Prevention Program (APP). The APP must address: (1) management safety commitment; (2) employee involvement; (3) hazard identification and control; (4) safety training for each employee; (5) incident investigation; and (6) program evaluation. The APP must be specific to the operations at this facility.</t>
  </si>
  <si>
    <t>Request the written Accident Prevention Program. Confirm: the APP is signed or endorsed by senior site management; it covers the specific operations and hazards at this facility; hazard identification procedures (periodic inspections, employee reporting) are documented; incident investigation procedures are included; training requirements are specified. Sample 3 employees to verify they are aware of the APP and how to report hazards.</t>
  </si>
  <si>
    <t>WAC 296-800-11005</t>
  </si>
  <si>
    <t>SP-WA-02</t>
  </si>
  <si>
    <t>Safety Committee / Safety Meetings</t>
  </si>
  <si>
    <t>Washington employers with 11 or more employees must establish a safety committee with equal employer and employee representation. Safety committee meetings must be held at least monthly and minutes must be documented and retained for at least 3 years. All employers must conduct safety meetings at least quarterly, regardless of size.</t>
  </si>
  <si>
    <t>For facilities with 11+ employees: confirm a joint labor-management safety committee exists; verify meeting frequency is at least monthly; review meeting minutes for the past 12 months and confirm they document hazards identified, corrective actions, and follow-up. For all facilities: confirm safety meetings are held at least quarterly and documented. Ask to see the most recent 3 sets of meeting minutes.</t>
  </si>
  <si>
    <t>WAC 296-800-13005; WAC 296-800-13015</t>
  </si>
  <si>
    <t>SP-WA-03</t>
  </si>
  <si>
    <t>Ergonomics Rule</t>
  </si>
  <si>
    <t>Washington's Ergonomics Rule requires employers to identify and control Caution Zone Jobs (high hand forces, highly repetitive motions, awkward postures) and Action Level Jobs (higher-intensity combinations of risk factors). When Action Level jobs are identified, employers must implement engineering controls or work practice controls and provide training.</t>
  </si>
  <si>
    <t>Request any ergonomic job analysis or MSD risk assessment conducted at the facility. Review OSHA 300 log for MSD-type injuries (sprains, strains, tendinitis, carpal tunnel). Identify the 3 highest-MSD-risk job tasks. For each: determine whether the task meets Washington Caution Zone or Action Level criteria; confirm controls (engineering, administrative) are in place; verify ergonomics training is provided. Document any unaddressed action-level jobs.</t>
  </si>
  <si>
    <t>WAC 296-62-051741 through 051760</t>
  </si>
  <si>
    <t>SP-WA-04</t>
  </si>
  <si>
    <t>Washington employers must display the L&amp;I 'Job Safety and Health Law' poster and any applicable industrial insurance (workers' compensation) poster. Washington-specific postings supplement but do not replace the federal OSHA poster.</t>
  </si>
  <si>
    <t>Confirm the Washington L&amp;I safety and health poster is posted in a location accessible to all employees. Confirm the Washington workers' compensation employer information is posted. Confirm the federal OSHA poster is also present. Check publication dates on all posters to confirm they are current versions.</t>
  </si>
  <si>
    <t>WAC 296-900-17015</t>
  </si>
  <si>
    <t>SP-WA-05</t>
  </si>
  <si>
    <t>Injury Reporting — WISHA</t>
  </si>
  <si>
    <t>Washington requires employers to report any workplace injury or illness requiring in-patient hospitalization within 8 hours of learning of the incident. This is more stringent than the federal OSHA 24-hour window for hospitalizations. Fatalities must also be reported within 8 hours.</t>
  </si>
  <si>
    <t>Confirm that site supervisors and the EHS function know the 8-hour reporting window for hospitalizations (not the federal 24-hour window). Verify the L&amp;I reporting procedure is documented and accessible to supervisors on all shifts. Review any incidents in the past 12 months involving hospitalization and confirm the 8-hour notification was made to L&amp;I.</t>
  </si>
  <si>
    <t>WAC 296-800-32005</t>
  </si>
  <si>
    <t>SP-WA-06</t>
  </si>
  <si>
    <t>Work Refusal Rights</t>
  </si>
  <si>
    <t>Washington employees have the statutory right to refuse work they reasonably believe presents an imminent danger to their health or safety. Employers cannot discipline or terminate employees for good-faith refusals to perform imminently dangerous work. The employer must investigate the hazard and address it before requiring the work to be performed.</t>
  </si>
  <si>
    <t>Confirm the facility has a documented procedure for employees to report hazards and refuse imminently dangerous work. Review any prior worker complaints to L&amp;I or internal safety concern reports from the past 24 months. Interview 3 employees: 'What would you do if you were asked to do something you believed was dangerous?' Confirm no adverse employment actions were taken related to safety refusals.</t>
  </si>
  <si>
    <t>RCW 49.17.130</t>
  </si>
  <si>
    <t>SP-WA-07</t>
  </si>
  <si>
    <t>Recordkeeping Submission</t>
  </si>
  <si>
    <t>Washington establishments with 250 or more employees (or establishments in high-hazard NAICS codes as defined by L&amp;I) must electronically submit OSHA Form 300A summary data to the federal OSHA electronic reporting system annually by March 2. Washington follows the federal Injury Tracking Application (ITA) requirement.</t>
  </si>
  <si>
    <t>For facilities meeting the 250-employee or high-hazard NAICS threshold: confirm electronic submission of OSHA 300A data was completed for the most recent calendar year by March 2; request submission confirmation or ITA dashboard screenshot. Confirm the correct establishment ID is on file with the ITA system.</t>
  </si>
  <si>
    <t>WAC 296-27-02102; 29 CFR 1904.41</t>
  </si>
  <si>
    <t>Oregon (OR-OSHA)</t>
  </si>
  <si>
    <t>SP-OR-01</t>
  </si>
  <si>
    <t>All Oregon employers must have a written Accident Prevention Program (APP). Employers with 11 or more employees or in high-hazard industries must also have a functioning safety committee. The APP must address: hazard identification, hazard correction, accident investigation, training, and employee involvement.</t>
  </si>
  <si>
    <t>Request the written Accident Prevention Program. Confirm: it is site-specific; management commitment is documented; hazard identification procedures are included; incident investigation procedures are present; training requirements are addressed. For facilities with 11+ employees: confirm a safety committee exists and is functioning (request meeting minutes for the past 12 months).</t>
  </si>
  <si>
    <t>OAR 437-001-0765</t>
  </si>
  <si>
    <t>SP-OR-02</t>
  </si>
  <si>
    <t>Oregon employers with 11 or more employees must maintain a safety committee meeting at least quarterly. Smaller employers must conduct safety meetings at least monthly. Minutes must be documented and retained for 3 years. Safety committee members must include an equal number of employer and employee representatives.</t>
  </si>
  <si>
    <t>For facilities with 11+ employees: request safety committee minutes for the past 12 months; confirm meeting frequency is at least quarterly; confirm minutes document topics, attendees, hazards identified, and corrective actions. For all facilities: confirm safety meetings occur at required frequency and documentation is maintained.</t>
  </si>
  <si>
    <t>OAR 437-001-0765(8)-(12)</t>
  </si>
  <si>
    <t>SP-OR-03</t>
  </si>
  <si>
    <t>Ergonomics — MSD Prevention</t>
  </si>
  <si>
    <t>Oregon's ergonomics rule requires employers to address musculoskeletal disorder (MSD) hazards. When MSDs are occurring or when MSD risk factors are present, employers must analyze the work tasks contributing to the risk and implement feasible engineering, administrative, or work practice controls. Training must be provided to employees performing at-risk tasks.</t>
  </si>
  <si>
    <t>Review OSHA 300 log for MSD injuries (sprains, strains, tendinitis, carpal tunnel, rotator cuff injuries). For each MSD event or high-risk task identified: confirm a job hazard analysis or ergonomic assessment was conducted; confirm controls were evaluated and implemented where feasible; verify MSD prevention training was provided. Document any unaddressed MSD hazards.</t>
  </si>
  <si>
    <t>OAR 437-001-0760</t>
  </si>
  <si>
    <t>SP-OR-04</t>
  </si>
  <si>
    <t>Oregon employers must display the Oregon OSHA 'Safety and Health on the Job' poster and the Oregon workers' compensation insurance poster in locations accessible to all employees.</t>
  </si>
  <si>
    <t>Confirm the Oregon OSHA poster is posted (separate from the federal OSHA poster). Confirm the Oregon workers' compensation poster is displayed. Verify both postings are current versions. Posters are available at osha.oregon.gov.</t>
  </si>
  <si>
    <t>OAR 437-001-0010; ORS 654.079</t>
  </si>
  <si>
    <t>SP-OR-05</t>
  </si>
  <si>
    <t>Injury Reporting — OR-OSHA</t>
  </si>
  <si>
    <t>Oregon employers must report workplace fatalities within 8 hours and any in-patient hospitalization within 24 hours of learning of the incident. Confirm the facility has the Oregon OSHA reporting contact information accessible to supervisors on all shifts.</t>
  </si>
  <si>
    <t>Confirm that supervisors know the Oregon OSHA reporting obligation and the 24-hour window for hospitalizations. The OR-OSHA emergency reporting line is (503) 378-3272. Review any hospitalizations in the past 12 months and verify notifications were made. Confirm the reporting procedure is documented in the EAP or emergency response plan.</t>
  </si>
  <si>
    <t>OAR 437-001-0700; ORS 654.074</t>
  </si>
  <si>
    <t>Minnesota (MN OSHA)</t>
  </si>
  <si>
    <t>SP-MN-01</t>
  </si>
  <si>
    <t>Written Safety Program</t>
  </si>
  <si>
    <t>All Minnesota employers must maintain a written safety program addressing: (1) a management statement of safety commitment; (2) specific safety goals and objectives; (3) assignment of safety responsibilities; (4) procedures for identifying and correcting hazards; (5) employee training requirements; and (6) a system for reviewing and updating the program. The program must be available to employees.</t>
  </si>
  <si>
    <t>Request the written safety program. Confirm: a signed management commitment statement is present; responsibilities are assigned to specific positions or individuals; a hazard identification and correction procedure is documented; training requirements are specified; a review/update schedule exists. Interview 2–3 employees to confirm they are aware of the safety program and safety goals.</t>
  </si>
  <si>
    <t>MN Rules 5205.0010</t>
  </si>
  <si>
    <t>SP-MN-02</t>
  </si>
  <si>
    <t>Safety Committee</t>
  </si>
  <si>
    <t>Minnesota employers with 25 or more employees in manufacturing or construction must maintain a joint labor-management safety committee. The committee must meet at least monthly and keep minutes of all meetings. Committee responsibilities include reviewing safety reports, inspecting the workplace, recommending corrective actions, and evaluating safety program effectiveness.</t>
  </si>
  <si>
    <t>For manufacturing facilities with 25+ employees: confirm the safety committee exists with equal employer and employee representation; request meeting minutes for the past 12 months; confirm meeting frequency is monthly; verify the committee reviews safety data (incident reports, inspection results) and that corrective action recommendations are documented and followed up.</t>
  </si>
  <si>
    <t>MN Stat. §182.676</t>
  </si>
  <si>
    <t>SP-MN-03</t>
  </si>
  <si>
    <t>Chemical Right-to-Know</t>
  </si>
  <si>
    <t>The Minnesota Employee Right-to-Know Act supplements federal HazCom. Minnesota employers must: (1) provide employees with a list of all hazardous substances present in the workplace upon request; (2) ensure SDSs are accessible; (3) provide training on specific chemicals present at this facility. The Right-to-Know list must include all chemicals on the Minnesota Hazardous Substances List.</t>
  </si>
  <si>
    <t>Confirm the facility maintains a current chemical inventory accessible to employees. Verify a procedure exists for employees to request the list and to access SDSs at any time. Review HazCom training to confirm training addresses specific chemicals present at this facility, not just generic HazCom content. Interview 2 employees: 'Do you know how to get a list of all the hazardous chemicals at this site?'</t>
  </si>
  <si>
    <t>MN Stat. §182.650-182.677</t>
  </si>
  <si>
    <t>SP-MN-04</t>
  </si>
  <si>
    <t>Minnesota employers must display the MN OSHA 'Safety and Health Protection on the Job' poster. Additional Minnesota-required postings include: the Minnesota Minimum Wage notice, the Workers' Compensation poster, and the Equal Pay/Equal Employment Opportunity notice.</t>
  </si>
  <si>
    <t>Confirm the Minnesota OSHA poster is posted in a conspicuous location. Confirm the federal OSHA poster is also present. Verify additional Minnesota-required postings are current (Minimum Wage, Workers' Comp, EEOC). Check publication dates on all posters. Posters are available at dli.mn.gov.</t>
  </si>
  <si>
    <t>MN Rules 5205.0030; MN Stat. §177.23; MN Stat. §176.138</t>
  </si>
  <si>
    <t>SP-MN-05</t>
  </si>
  <si>
    <t>Minnesota follows federal OSHA recordkeeping requirements (OSHA 300/300A/301). Electronic submission of 300A data is required annually for establishments with 250+ employees or those in high-hazard NAICS codes. MN OSHA may request the full 300 log and supporting records at any time and employers must provide access within 4 business hours.</t>
  </si>
  <si>
    <t>For facilities with 250+ employees or in applicable NAICS: confirm electronic submission of 300A to federal ITA system was completed for the most recent calendar year. For all facilities: confirm OSHA 300/301 records are maintained and accessible. Confirm the 300A was posted February 1–April 30. Confirm records are retained for 5 years.</t>
  </si>
  <si>
    <t>MN Stat. §182.655; 29 CFR 1904</t>
  </si>
  <si>
    <t>Indiana (IN IOSHA)</t>
  </si>
  <si>
    <t>SP-IN-01</t>
  </si>
  <si>
    <t>Fire Prevention Code — NFPA 10</t>
  </si>
  <si>
    <t>Indiana adopts the 2012 International Fire Code (IFC) through 675 IAC 22-2.5. This requires full compliance with NFPA 10 (Standard for Portable Fire Extinguishers), which is more stringent than federal OSHA 1910.157. NFPA 10 requires: (1) a 6-year internal inspection (teardown) of all stored-pressure fire extinguishers; (2) hydrostatic testing on a type-specific schedule (stored-pressure dry chemical: every 12 years; CO2: every 5 years); (3) annual maintenance must be performed by a qualified person and documented with a collar tag and maintenance record. Indiana fire code is enforced by the Indiana Fire Marshal, separate from and in addition to IOSHA.</t>
  </si>
  <si>
    <t>Review fire extinguisher inspection and maintenance records. Confirm: annual maintenance records exist for all extinguishers with collar tags attached showing date and technician; for stored-pressure dry chemical extinguishers, confirm 6-year internal inspection has been completed (check tag history); for CO2 extinguishers, verify 5-year hydrostatic testing. Confirm the facility tracks due dates for internal inspections and hydrostatic testing by extinguisher ID. Note any extinguishers with expired testing requirements.</t>
  </si>
  <si>
    <t>675 IAC 22-2.5; IFC §906; NFPA 10 §6.3, §8.3</t>
  </si>
  <si>
    <t>SP-IN-02</t>
  </si>
  <si>
    <t>Hazardous Materials Management Plan</t>
  </si>
  <si>
    <t>Under the Indiana Fire Code (IFC Section 2703.1), facilities that store or use hazardous materials above maximum allowable quantities (MAQ) listed in IFC Tables 2703.1.1(1) and (2) may be required to prepare a Hazardous Materials Management Plan (HMMP) and Hazardous Materials Inventory Statement (HMIS). These documents must be submitted to and maintained with the local fire marshal.</t>
  </si>
  <si>
    <t>Review the facility's hazardous materials inventory and compare stored quantities against IFC Table 2703.1.1 MAQ thresholds for each hazardous material category (flammable liquids, compressed gases, oxidizers, corrosives, etc.). If quantities exceed control area MAQs: confirm an HMMP has been prepared; confirm the HMMP has been submitted to the local fire authority having jurisdiction (AHJ); verify a copy is on file at the facility and maintained current.</t>
  </si>
  <si>
    <t>675 IAC 22-2.5; IFC §2703.1; IFC Table 2703.1.1</t>
  </si>
  <si>
    <t>SP-IN-03</t>
  </si>
  <si>
    <t>Hot Work — Fire Watch Duration</t>
  </si>
  <si>
    <t>Indiana's adoption of the International Fire Code requires a continuous fire watch for a minimum of 60 minutes after the completion of hot work operations in any area where combustible materials may be present. Federal OSHA 29 CFR 1910.252(a)(2)(iv) recommends but does not codify a specific fire watch duration.</t>
  </si>
  <si>
    <t>Review the facility's hot work permit program. Confirm the written hot work procedure specifies a minimum 60-minute fire watch after work completion. Review 10% of completed hot work permits from the past 12 months (minimum 3) and confirm the fire watch end time documented on each permit reflects at least 60 minutes post-completion. Confirm fire watch personnel are trained in the scope of their duties and how to report a fire.</t>
  </si>
  <si>
    <t>675 IAC 22-2.5; IFC §3504.2.3; NFPA 51B</t>
  </si>
  <si>
    <t>SP-IN-04</t>
  </si>
  <si>
    <t>Required Postings — IOSHA</t>
  </si>
  <si>
    <t>Indiana employers must display the Indiana IOSHA poster ('Indiana Safety and Health Laws') in addition to the federal OSHA poster. The IOSHA-specific poster informs employees of their rights under the Indiana Occupational Safety and Health Act.</t>
  </si>
  <si>
    <t>Confirm the Indiana IOSHA-specific poster is posted in a conspicuous location accessible to all employees. Confirm the federal OSHA poster is also present. Verify the Indiana poster is a current version. Posters are available at in.gov/dol/iosha.</t>
  </si>
  <si>
    <t>IC 22-8-1.1-30.5</t>
  </si>
  <si>
    <t>North Carolina (NC DOL OSH)</t>
  </si>
  <si>
    <t>SP-NC-01</t>
  </si>
  <si>
    <t>North Carolina employers must display the North Carolina Department of Labor 'North Carolina Occupational Safety and Health Act' poster in addition to the federal OSHA poster.</t>
  </si>
  <si>
    <t>Confirm the NC DOL OSH-specific poster is posted and current. Confirm the federal OSHA poster is also present. NC DOL posters are available at nclabor.com. Verify the poster is posted in a location visible and accessible to all employees.</t>
  </si>
  <si>
    <t>GS 95-148; 13 NCAC 07A .0602</t>
  </si>
  <si>
    <t>SP-NC-02</t>
  </si>
  <si>
    <t>Injury Reporting</t>
  </si>
  <si>
    <t>North Carolina requires reporting of fatalities within 8 hours and in-patient hospitalizations, amputations, and eye loss within 24 hours to the NC Department of Labor OSH Division. Confirm the facility has the NC DOL OSH reporting contact information accessible.</t>
  </si>
  <si>
    <t>Confirm the NC DOL OSH emergency reporting number is documented and accessible to supervisors on all shifts. The NC DOL OSH reporting line is (919) 807-2900. Review any fatality or serious injury events in the past 12 months and confirm required notifications were made to NC DOL OSH.</t>
  </si>
  <si>
    <t>13 NCAC 07A .0601; GS 95-136</t>
  </si>
  <si>
    <t>SP-NC-03</t>
  </si>
  <si>
    <t>State Standards</t>
  </si>
  <si>
    <t>North Carolina adopts federal OSHA General Industry standards by reference through 13 NCAC 07F. NC OSH enforces standards substantively equivalent to federal 29 CFR 1910. NC OSH may have supplemental rules for specific industries; verify current NC DOL OSH standards at nclabor.com at the time of this audit for any industry-specific additions.</t>
  </si>
  <si>
    <t>Confirm compliance with all applicable federal OSHA GI standards (primary audit tabs). Verify the EHS responsible party has checked nclabor.com for any NC-specific amendments effective at the time of this audit. Document the date of verification and standard set reviewed.</t>
  </si>
  <si>
    <t>13 NCAC 07A-07F; GS 95-126 et seq.</t>
  </si>
  <si>
    <t>Virginia (VOSH)</t>
  </si>
  <si>
    <t>SP-VA-01</t>
  </si>
  <si>
    <t>Virginia employers must display the Virginia OSHA (VOSH) 'Job Safety and Health Protection' poster in addition to the federal OSHA poster.</t>
  </si>
  <si>
    <t>Confirm the VOSH-specific poster is posted and current. Confirm the federal OSHA poster is also present. Verify the poster is in a location visible to all employees. VOSH posters are available at doli.virginia.gov.</t>
  </si>
  <si>
    <t>16 VAC 25-60-60</t>
  </si>
  <si>
    <t>SP-VA-02</t>
  </si>
  <si>
    <t>VOSH requires reporting of fatalities within 8 hours and in-patient hospitalizations within 24 hours. VOSH also requires reporting of any hospitalization, amputation, or eye loss within 24 hours of learning of the incident.</t>
  </si>
  <si>
    <t>Confirm the VOSH reporting contact information is accessible to supervisors. The VOSH emergency reporting number is (540) 562-3580. Review any fatality or serious injury incidents in the past 12 months and verify required notifications were made within required timeframes.</t>
  </si>
  <si>
    <t>16 VAC 25-60-110; VA Code 40.1-51.1</t>
  </si>
  <si>
    <t>SP-VA-03</t>
  </si>
  <si>
    <t>Virginia adopts federal OSHA general industry standards through 16 VAC 25-90. VOSH may adopt amendments or additional standards; verify the current VOSH General Industry Standards at doli.virginia.gov at time of audit.</t>
  </si>
  <si>
    <t>Confirm compliance with all applicable federal OSHA GI standards. Verify the EHS responsible party has reviewed 16 VAC 25-90 for any current VOSH-specific amendments. Document the date of standard verification.</t>
  </si>
  <si>
    <t>16 VAC 25-90; VA Code 40.1-50 et seq.</t>
  </si>
  <si>
    <t>South Carolina (SC OSH)</t>
  </si>
  <si>
    <t>SP-SC-01</t>
  </si>
  <si>
    <t>South Carolina employers must display the SC OSH 'Job Safety and Health: It's the Law' poster in addition to the federal OSHA poster.</t>
  </si>
  <si>
    <t>Confirm the SC OSH-specific poster is posted and current. Confirm the federal OSHA poster is also present. SC OSH posters are available at labor.sc.gov/safety. Verify both are in a location accessible to all employees.</t>
  </si>
  <si>
    <t>SC Code 41-15-80</t>
  </si>
  <si>
    <t>SP-SC-02</t>
  </si>
  <si>
    <t>South Carolina OSH requires reporting of fatalities within 8 hours and in-patient hospitalizations, amputations, and eye loss within 24 hours to SC OSHA. Confirm the facility has SC OSH emergency reporting contact information.</t>
  </si>
  <si>
    <t>Confirm the SC OSH reporting contact information is accessible to supervisors. Review any fatality or serious injury events in the past 12 months and verify required notifications were made. The SC OSH reporting line is (803) 896-4300.</t>
  </si>
  <si>
    <t>SC Reg. 71-3700; SC Code 41-15-520</t>
  </si>
  <si>
    <t>SP-SC-03</t>
  </si>
  <si>
    <t>South Carolina adopts federal OSHA General Industry standards by reference. Verify current SC OSH standards at labor.sc.gov at time of audit for any SC-specific amendments in effect.</t>
  </si>
  <si>
    <t>Confirm compliance with all applicable federal OSHA GI standards. Verify that the EHS function has checked labor.sc.gov for current SC OSHA amendments effective at time of this audit.</t>
  </si>
  <si>
    <t>SC Reg. 71-3100; SC Code 41-15-210</t>
  </si>
  <si>
    <t>Alaska (AK OSHA)</t>
  </si>
  <si>
    <t>SP-AK-01</t>
  </si>
  <si>
    <t>Alaska employers must display the Alaska OSHA 'Safety and Health Protection on the Job' poster in addition to the federal OSHA poster.</t>
  </si>
  <si>
    <t>Confirm the Alaska OSHA-specific poster is posted and current. Confirm the federal OSHA poster is also present. AK OSHA posters are available at labor.alaska.gov/lss/oshhome.htm.</t>
  </si>
  <si>
    <t>8 AAC 61.010; AS 18.60.080</t>
  </si>
  <si>
    <t>SP-AK-02</t>
  </si>
  <si>
    <t>Cold Stress / Extreme Cold</t>
  </si>
  <si>
    <t>Alaska's unique climate presents occupational cold stress hazards during outdoor and semi-outdoor work. Alaska OSHA addresses temperature extremes in 8 AAC 61.1200. Employers with employees working in cold environments must implement cold stress prevention measures: acclimatization for new workers, buddy system protocols, warm shelter access, PPE adequate for temperature and wind chill, and training on cold injury recognition and prevention.</t>
  </si>
  <si>
    <t>Assess whether any work is performed outdoors or in unheated spaces during cold weather months. If applicable: confirm the facility has a cold stress prevention procedure addressing temperature and wind chill thresholds; verify warm break areas are accessible; confirm employees are trained on hypothermia, frostbite, and cold emergency response. For extreme cold operations (below 0°F): verify PPE (insulated clothing, hand protection, face protection) is provided and appropriate for temperature.</t>
  </si>
  <si>
    <t>8 AAC 61.1200; AS 18.60.075</t>
  </si>
  <si>
    <t>SP-AK-03</t>
  </si>
  <si>
    <t>Alaska follows federal OSHA reporting thresholds: fatalities within 8 hours and in-patient hospitalizations, amputations, or eye loss within 24 hours. Confirm the facility has the AK OSHA emergency reporting contact accessible.</t>
  </si>
  <si>
    <t>Confirm the AK OSHA reporting contact is documented and accessible. The AK OSHA reporting number is (907) 269-4957. Review any fatality or serious injury events in the past 12 months and verify required notifications were made.</t>
  </si>
  <si>
    <t>8 AAC 61.260; AS 18.60.055</t>
  </si>
  <si>
    <t>SP-AK-04</t>
  </si>
  <si>
    <t>Alaska adopts federal OSHA General Industry standards through 8 AAC 61. Verify current AK OSHA standards at labor.alaska.gov at time of audit for any Alaska-specific amendments.</t>
  </si>
  <si>
    <t>Confirm compliance with all applicable federal OSHA GI standards. Verify that the EHS function has reviewed 8 AAC 61 for current AK OSHA-specific amendments effective at time of this audit.</t>
  </si>
  <si>
    <t>8 AAC 61; AS 18.60.010 et seq.</t>
  </si>
  <si>
    <t>Arizona (AZ OSHA)</t>
  </si>
  <si>
    <t>SP-AZ-01</t>
  </si>
  <si>
    <t>Arizona employers must display the Arizona Industrial Commission 'Arizona Occupational Safety and Health' poster in addition to the federal OSHA poster.</t>
  </si>
  <si>
    <t>Confirm the AZ OSHA-specific poster is posted and current. Confirm the federal OSHA poster is also present. AZ OSHA posters are available at azica.gov/labor-arizona-occupational-safety-and-health-division. Verify both are accessible to all employees.</t>
  </si>
  <si>
    <t>ARS §23-418</t>
  </si>
  <si>
    <t>SP-AZ-02</t>
  </si>
  <si>
    <t>Arizona follows federal OSHA reporting thresholds. Confirm the facility has the AZ OSHA emergency reporting contact accessible to supervisors.</t>
  </si>
  <si>
    <t>Confirm the AZ OSHA reporting contact is documented. The AZ OSHA reporting line is (602) 542-5795 or 1-800-545-5525. Review any serious injury events in the past 12 months and verify required notifications were made within required timeframes.</t>
  </si>
  <si>
    <t>ARS §23-421; A.A.C. R20-5-628</t>
  </si>
  <si>
    <t>SP-AZ-03</t>
  </si>
  <si>
    <t>Arizona adopts federal OSHA General Industry standards. Verify current AZ OSHA standards at azica.gov at time of audit for any Arizona-specific amendments.</t>
  </si>
  <si>
    <t>Confirm compliance with all applicable federal OSHA GI standards. Verify that the EHS function has checked azica.gov for current AZ OSHA amendments effective at time of this audit.</t>
  </si>
  <si>
    <t>ARS §23-410; A.A.C. R20-5</t>
  </si>
  <si>
    <t>Hawaii (HI OSHA)</t>
  </si>
  <si>
    <t>SP-HI-01</t>
  </si>
  <si>
    <t>Hawaii employers must display the Hawaii HIOSH 'Occupational Safety and Health' poster in addition to the federal OSHA poster.</t>
  </si>
  <si>
    <t>Confirm the Hawaii HIOSH-specific poster is posted and current. Confirm the federal OSHA poster is also present. HIOSH posters are available at labor.hawaii.gov/hiosh. Verify both are in a location accessible to all employees.</t>
  </si>
  <si>
    <t>HRS §396-12</t>
  </si>
  <si>
    <t>SP-HI-02</t>
  </si>
  <si>
    <t>Hawaii follows federal OSHA reporting thresholds. Confirm the facility has the HIOSH emergency reporting contact accessible to supervisors.</t>
  </si>
  <si>
    <t>Confirm the HIOSH reporting contact is documented and accessible. The HIOSH reporting line is (808) 586-9116. Review any serious injury events in the past 12 months and verify required notifications were made.</t>
  </si>
  <si>
    <t>HRS §396-13; HAR 12-110</t>
  </si>
  <si>
    <t>SP-HI-03</t>
  </si>
  <si>
    <t>Hawaii adopts federal OSHA General Industry standards through HAR §12-110. Certain industry-specific rules may apply. Verify current HIOSH standards at labor.hawaii.gov at time of audit.</t>
  </si>
  <si>
    <t>Confirm compliance with all applicable federal OSHA GI standards. Verify that the EHS function has checked labor.hawaii.gov/hiosh for current Hawaii-specific standards or amendments effective at time of this audit.</t>
  </si>
  <si>
    <t>HAR 12-110; HRS §396-10</t>
  </si>
  <si>
    <t>Iowa (Iowa OSHA)</t>
  </si>
  <si>
    <t>SP-IA-01</t>
  </si>
  <si>
    <t>Iowa employers must display the Iowa OSHA 'Job Safety and Health Protection' poster in addition to the federal OSHA poster.</t>
  </si>
  <si>
    <t>Confirm the Iowa OSHA-specific poster is posted and current. Confirm the federal OSHA poster is also present. Iowa OSHA posters are available at iowaosha.gov. Verify both are accessible to all employees.</t>
  </si>
  <si>
    <t>Iowa Code §88.7</t>
  </si>
  <si>
    <t>SP-IA-02</t>
  </si>
  <si>
    <t>Iowa follows federal OSHA reporting thresholds. Confirm the facility has the Iowa OSHA emergency reporting contact accessible to supervisors.</t>
  </si>
  <si>
    <t>Confirm the Iowa OSHA reporting contact is documented and accessible. Review any serious injury events in the past 12 months and verify required notifications were made within required timeframes.</t>
  </si>
  <si>
    <t>Iowa Admin. Code 875-3.1; Iowa Code §88.8</t>
  </si>
  <si>
    <t>SP-IA-03</t>
  </si>
  <si>
    <t>Iowa adopts federal OSHA General Industry standards. Verify current Iowa OSHA standards at iowaosha.gov at time of audit for any Iowa-specific amendments.</t>
  </si>
  <si>
    <t>Confirm compliance with all applicable federal OSHA GI standards. Verify that the EHS function has reviewed iowaosha.gov for current Iowa-specific amendments effective at time of this audit.</t>
  </si>
  <si>
    <t>Iowa Admin. Code 875; Iowa Code §88 et seq.</t>
  </si>
  <si>
    <t>Kentucky (KY OSH)</t>
  </si>
  <si>
    <t>SP-KY-01</t>
  </si>
  <si>
    <t>Kentucky employers must display the Kentucky Labor Cabinet OSHA poster in addition to the federal OSHA poster.</t>
  </si>
  <si>
    <t>Confirm the Kentucky Labor Cabinet OSHA-specific poster is posted and current. Confirm the federal OSHA poster is also present. KY OSH posters are available at labor.ky.gov. Verify both are accessible to all employees.</t>
  </si>
  <si>
    <t>KRS §338.091; 803 KAR 2:003</t>
  </si>
  <si>
    <t>SP-KY-02</t>
  </si>
  <si>
    <t>Kentucky follows federal OSHA reporting thresholds. Confirm the facility has the KY OSH emergency reporting contact accessible to supervisors.</t>
  </si>
  <si>
    <t>Confirm the KY OSH reporting contact is documented and accessible. The KY OSH reporting line is (502) 564-3070. Review any serious injury events in the past 12 months and verify required notifications were made.</t>
  </si>
  <si>
    <t>803 KAR 2:180; KRS §338.081</t>
  </si>
  <si>
    <t>SP-KY-03</t>
  </si>
  <si>
    <t>Kentucky adopts federal OSHA General Industry standards by reference. Verify current KY OSH standards at labor.ky.gov at time of audit for any Kentucky-specific amendments.</t>
  </si>
  <si>
    <t>Confirm compliance with all applicable federal OSHA GI standards. Verify that the EHS function has reviewed labor.ky.gov for current KY OSH-specific amendments effective at time of this audit.</t>
  </si>
  <si>
    <t>803 KAR 2; KRS §338 et seq.</t>
  </si>
  <si>
    <t>Maryland (MOSH)</t>
  </si>
  <si>
    <t>SP-MD-01</t>
  </si>
  <si>
    <t>Maryland employers must display the Maryland OSHA (MOSH) 'Job Safety and Health Protection' poster in addition to the federal OSHA poster.</t>
  </si>
  <si>
    <t>Confirm the MOSH-specific poster is posted and current. Confirm the federal OSHA poster is also present. MOSH posters are available at dllr.state.md.us/labor/mosh. Verify both are in a location accessible to all employees.</t>
  </si>
  <si>
    <t>COMAR 09.12.21.07; MD Code, Labor &amp; Empl. §5-213</t>
  </si>
  <si>
    <t>SP-MD-02</t>
  </si>
  <si>
    <t>Maryland follows federal OSHA reporting thresholds. Confirm the facility has the MOSH emergency reporting contact accessible to supervisors.</t>
  </si>
  <si>
    <t>Confirm the MOSH reporting contact is documented. The MOSH emergency line is (410) 527-4447. Review any serious injury events in the past 12 months and verify required notifications were made.</t>
  </si>
  <si>
    <t>COMAR 09.12.21.10; MD Code, Labor &amp; Empl. §5-212</t>
  </si>
  <si>
    <t>SP-MD-03</t>
  </si>
  <si>
    <t>Noise — Engineering Controls</t>
  </si>
  <si>
    <t>Maryland MOSH historically enforces the engineering controls hierarchy in 29 CFR 1910.95 more aggressively than federal OSHA. If noise levels exceed 90 dBA TWA, MOSH expects documented evidence that feasible engineering controls were evaluated and either implemented or documented as infeasible before relying solely on hearing protection.</t>
  </si>
  <si>
    <t>Review noise monitoring data. For any tasks where noise exceeds 90 dBA TWA: confirm a documented evaluation of engineering controls (machine enclosures, isolation, vibration dampening, process changes) was conducted; confirm controls were implemented where feasible; where engineering controls were deemed infeasible, confirm written documentation of the infeasibility determination. Confirm hearing protection is not the first and only control.</t>
  </si>
  <si>
    <t>COMAR 09.12.43; 29 CFR 1910.95(b)(1)</t>
  </si>
  <si>
    <t>SP-MD-04</t>
  </si>
  <si>
    <t>Maryland adopts federal OSHA General Industry standards. Verify current MOSH standards at dllr.state.md.us at time of audit for any Maryland-specific amendments.</t>
  </si>
  <si>
    <t>Confirm compliance with all applicable federal OSHA GI standards. Verify that the EHS function has reviewed COMAR 09.12 for current MOSH-specific amendments effective at time of this audit.</t>
  </si>
  <si>
    <t>COMAR 09.12; MD Code, Labor &amp; Empl. §5-101 et seq.</t>
  </si>
  <si>
    <t>Nevada (NV OSHA)</t>
  </si>
  <si>
    <t>SP-NV-01</t>
  </si>
  <si>
    <t>Nevada employers must display the Nevada OSHA 'Nevada Job Safety and Health Protection' poster in addition to the federal OSHA poster.</t>
  </si>
  <si>
    <t>Confirm the Nevada OSHA-specific poster is posted and current. Confirm the federal OSHA poster is also present. NV OSHA posters are available at business.nv.gov/osha. Verify both are accessible to all employees.</t>
  </si>
  <si>
    <t>NRS §618.375; NAC 618.400</t>
  </si>
  <si>
    <t>SP-NV-02</t>
  </si>
  <si>
    <t>Nevada follows federal OSHA reporting thresholds. Confirm the facility has the Nevada OSHA emergency reporting contact accessible to supervisors.</t>
  </si>
  <si>
    <t>Confirm the Nevada OSHA reporting contact is documented and accessible. The NV OSHA reporting line is (775) 688-3700 (northern NV) or (702) 486-9020 (southern NV). Review any serious injury events in the past 12 months and verify required notifications were made.</t>
  </si>
  <si>
    <t>NAC 618.490; NRS §618.375</t>
  </si>
  <si>
    <t>SP-NV-03</t>
  </si>
  <si>
    <t>Nevada adopts federal OSHA General Industry standards by reference. Verify current NV OSHA standards at business.nv.gov at time of audit for any Nevada-specific amendments.</t>
  </si>
  <si>
    <t>Confirm compliance with all applicable federal OSHA GI standards. Verify that the EHS function has reviewed NAC 618 for current NV OSHA-specific amendments effective at time of this audit.</t>
  </si>
  <si>
    <t>NAC 618; NRS §618 et seq.</t>
  </si>
  <si>
    <t>New Mexico (NM OSHA)</t>
  </si>
  <si>
    <t>SP-NM-01</t>
  </si>
  <si>
    <t>New Mexico employers must display the New Mexico OSHA 'Occupational Safety and Health for New Mexico Workers' poster in addition to the federal OSHA poster.</t>
  </si>
  <si>
    <t>Confirm the NM OSHA-specific poster is posted and current. Confirm the federal OSHA poster is also present. NM OSHA posters are available at env.nm.gov/occupational-health. Verify both are accessible to all employees.</t>
  </si>
  <si>
    <t>NMAC 11.5.1.7; NMSA §50-9-18</t>
  </si>
  <si>
    <t>SP-NM-02</t>
  </si>
  <si>
    <t>New Mexico follows federal OSHA reporting thresholds. Confirm the facility has the NM OSHA emergency reporting contact accessible to supervisors.</t>
  </si>
  <si>
    <t>Confirm the NM OSHA reporting contact is documented and accessible. Review any serious injury events in the past 12 months and verify required notifications were made within required timeframes.</t>
  </si>
  <si>
    <t>NMAC 11.5.1.13; NMSA §50-9-8</t>
  </si>
  <si>
    <t>SP-NM-03</t>
  </si>
  <si>
    <t>New Mexico adopts federal OSHA General Industry standards. Verify current NM OSHA standards at env.nm.gov at time of audit for any New Mexico-specific amendments.</t>
  </si>
  <si>
    <t>Confirm compliance with all applicable federal OSHA GI standards. Verify that the EHS function has reviewed NMAC 11.5 for current NM OSHA-specific amendments effective at time of this audit.</t>
  </si>
  <si>
    <t>NMAC 11.5; NMSA §50-9 et seq.</t>
  </si>
  <si>
    <t>Tennessee (TOSHA)</t>
  </si>
  <si>
    <t>SP-TN-01</t>
  </si>
  <si>
    <t>Tennessee employers must display the TOSHA 'Job Safety and Health — It's the Law' poster in addition to the federal OSHA poster.</t>
  </si>
  <si>
    <t>Confirm the TOSHA-specific poster is posted and current. Confirm the federal OSHA poster is also present. TOSHA posters are available at tn.gov/workforce/tosha. Verify both are accessible to all employees.</t>
  </si>
  <si>
    <t>TCA §50-3-204</t>
  </si>
  <si>
    <t>SP-TN-02</t>
  </si>
  <si>
    <t>Tennessee follows federal OSHA reporting thresholds. TOSHA covers all private-sector and state and local government employers in Tennessee. Confirm the facility has the TOSHA emergency reporting contact accessible.</t>
  </si>
  <si>
    <t>Confirm the TOSHA reporting contact is documented. The TOSHA emergency reporting line is (615) 741-2793. Review any serious injury events in the past 12 months and verify required notifications were made within required timeframes.</t>
  </si>
  <si>
    <t>TCA §50-3-309; TOSHA Rule 0800-01-01</t>
  </si>
  <si>
    <t>SP-TN-03</t>
  </si>
  <si>
    <t>Tennessee adopts federal OSHA General Industry standards. Verify current TOSHA standards at tn.gov/workforce/tosha at time of audit for any Tennessee-specific amendments.</t>
  </si>
  <si>
    <t>Confirm compliance with all applicable federal OSHA GI standards. Verify that the EHS function has reviewed current TOSHA standards for any TN-specific amendments effective at time of this audit.</t>
  </si>
  <si>
    <t>TCA §50-3; TOSHA Rule 0800-01</t>
  </si>
  <si>
    <t>Utah (Utah OSHA)</t>
  </si>
  <si>
    <t>SP-UT-01</t>
  </si>
  <si>
    <t>Utah employers must display the Utah OSHA 'Utah Occupational Safety and Health' poster in addition to the federal OSHA poster.</t>
  </si>
  <si>
    <t>Confirm the Utah OSHA-specific poster is posted and current. Confirm the federal OSHA poster is also present. Utah OSHA posters are available at laborcommission.utah.gov. Verify both are accessible to all employees.</t>
  </si>
  <si>
    <t>Utah Code §34A-6-205; Utah Admin. Code R614-1</t>
  </si>
  <si>
    <t>SP-UT-02</t>
  </si>
  <si>
    <t>Utah follows federal OSHA reporting thresholds. Confirm the facility has the Utah OSHA emergency reporting contact accessible to supervisors.</t>
  </si>
  <si>
    <t>Confirm the Utah OSHA reporting contact is documented and accessible. Review any serious injury events in the past 12 months and verify required notifications were made within required timeframes.</t>
  </si>
  <si>
    <t>Utah Admin. Code R614-1-3; Utah Code §34A-6-203</t>
  </si>
  <si>
    <t>SP-UT-03</t>
  </si>
  <si>
    <t>Utah adopts federal OSHA General Industry standards by reference. Verify current Utah OSHA standards at laborcommission.utah.gov at time of audit for any Utah-specific amendments.</t>
  </si>
  <si>
    <t>Confirm compliance with all applicable federal OSHA GI standards. Verify that the EHS function has reviewed Utah Admin. Code R614 for current Utah OSHA-specific amendments effective at time of this audit.</t>
  </si>
  <si>
    <t>Utah Admin. Code R614; Utah Code §34A-6 et seq.</t>
  </si>
  <si>
    <t>Vermont (VT OSHA)</t>
  </si>
  <si>
    <t>SP-VT-01</t>
  </si>
  <si>
    <t>Vermont employers must display the Vermont OSHA 'Vermont Job Safety and Health Protection' poster in addition to the federal OSHA poster.</t>
  </si>
  <si>
    <t>Confirm the Vermont OSHA-specific poster is posted and current. Confirm the federal OSHA poster is also present. Vermont OSHA posters are available at labor.vermont.gov. Verify both are accessible to all employees.</t>
  </si>
  <si>
    <t>21 V.S.A. §223; VOSHA Rule Chapter 1</t>
  </si>
  <si>
    <t>SP-VT-02</t>
  </si>
  <si>
    <t>Vermont follows federal OSHA reporting thresholds. Confirm the facility has the Vermont OSHA emergency reporting contact accessible to supervisors.</t>
  </si>
  <si>
    <t>Confirm the Vermont OSHA reporting contact is documented. The Vermont OSHA reporting line is (802) 828-2765. Review any serious injury events in the past 12 months and verify required notifications were made.</t>
  </si>
  <si>
    <t>VOSHA Rule Chapter 1; 21 V.S.A. §209</t>
  </si>
  <si>
    <t>SP-VT-03</t>
  </si>
  <si>
    <t>Vermont adopts federal OSHA General Industry standards by reference. Verify current Vermont OSHA standards at labor.vermont.gov/safety at time of audit for any Vermont-specific amendments.</t>
  </si>
  <si>
    <t>Confirm compliance with all applicable federal OSHA GI standards. Verify that the EHS function has reviewed VOSHA rules for current Vermont-specific amendments effective at time of this audit.</t>
  </si>
  <si>
    <t>21 V.S.A. §201 et seq.; VOSHA Rule</t>
  </si>
  <si>
    <t>Wyoming (WY OSHA)</t>
  </si>
  <si>
    <t>SP-WY-01</t>
  </si>
  <si>
    <t>Wyoming employers must display the Wyoming OSHA 'Wyoming Job Safety and Health Protection' poster in addition to the federal OSHA poster.</t>
  </si>
  <si>
    <t>Confirm the Wyoming OSHA-specific poster is posted and current. Confirm the federal OSHA poster is also present. Wyoming OSHA posters are available at wyomingworkforce.org/safety. Verify both are accessible to all employees.</t>
  </si>
  <si>
    <t>WS §27-11-110; Wyoming OSHA Rules</t>
  </si>
  <si>
    <t>SP-WY-02</t>
  </si>
  <si>
    <t>Wyoming follows federal OSHA reporting thresholds. Confirm the facility has the Wyoming OSHA emergency reporting contact accessible to supervisors.</t>
  </si>
  <si>
    <t>Confirm the Wyoming OSHA reporting contact is documented and accessible. Review any serious injury events in the past 12 months and verify required notifications were made within required timeframes.</t>
  </si>
  <si>
    <t>Wyoming OSHA Rules Chapter 5; WS §27-11-104</t>
  </si>
  <si>
    <t>SP-WY-03</t>
  </si>
  <si>
    <t>Wyoming adopts federal OSHA General Industry standards. Verify current Wyoming OSHA standards at wyomingworkforce.org/safety at time of audit for any Wyoming-specific amendments.</t>
  </si>
  <si>
    <t>Confirm compliance with all applicable federal OSHA GI standards. Verify that the EHS function has reviewed current Wyoming OSHA rules for any WY-specific amendments effective at time of this audit.</t>
  </si>
  <si>
    <t>WS §27-11 et seq.; Wyoming OSHA Rules</t>
  </si>
  <si>
    <t>Puerto Rico (PR OSHA)</t>
  </si>
  <si>
    <t>SP-PR-01</t>
  </si>
  <si>
    <t>Puerto Rico employers must display the PR OSHA poster in BOTH English and Spanish in locations accessible to all employees.</t>
  </si>
  <si>
    <t>Confirm the bilingual (English and Spanish) PR OSHA poster is posted and current. Confirm the federal OSHA poster is also present. Verify both language versions are legible and posted in locations accessible to all employees.</t>
  </si>
  <si>
    <t>PR Law 16 Art. 5; PR OSH Act</t>
  </si>
  <si>
    <t>SP-PR-02</t>
  </si>
  <si>
    <t>Language of Safety Communications</t>
  </si>
  <si>
    <t>Puerto Rico OSH requires that safety training, safety communications, and required written safety programs be provided in Spanish — the primary language of the workforce. All safety programs, permits, and procedures must be available in Spanish for employee use. Employers must also ensure that training is comprehensible to employees in their primary language.</t>
  </si>
  <si>
    <t>Review all safety training materials, programs, and procedures used at this facility. Confirm: all required written safety programs are available in Spanish; training is conducted in Spanish or with bilingual trainers and bilingual materials; safety signs and labels in work areas are in Spanish; confirm employee understanding through interviews in Spanish with a sample of 3 employees.</t>
  </si>
  <si>
    <t>PR OSH Act Art. 18; PR Law 16</t>
  </si>
  <si>
    <t>SP-PR-03</t>
  </si>
  <si>
    <t>Puerto Rico follows federal OSHA reporting thresholds. PR OSHA is administered by the Puerto Rico Department of Labor and Human Resources. Confirm the facility has PR OSHA emergency reporting contact accessible.</t>
  </si>
  <si>
    <t>Confirm the PR OSHA reporting contact is documented and accessible. Review any serious injury events in the past 12 months and verify required notifications were made within required timeframes. Confirm the site's understanding that PR OSHA — not federal OSHA — has jurisdiction.</t>
  </si>
  <si>
    <t>PR OSH Act Art. 14; PR Law 16</t>
  </si>
  <si>
    <t>SP-PR-04</t>
  </si>
  <si>
    <t>Puerto Rico adopts federal OSHA General Industry standards. Verify current PR OSHA standards at labor.pr.gov at time of audit for any Puerto Rico-specific amendments.</t>
  </si>
  <si>
    <t>Confirm compliance with all applicable federal OSHA GI standards. Verify that the EHS function has reviewed PR OSHA rules at labor.pr.gov for current PR-specific amendments effective at time of this audit.</t>
  </si>
  <si>
    <t>PR Law 16; PR OSH Regs.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</si>
</sst>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3" x14ac:knownFonts="1">
    <font>
      <sz val="11"/>
      <color theme="1"/>
      <name val="Calibri"/>
      <family val="2"/>
      <charset val="1"/>
    </font>
    <font>
      <b/>
      <sz val="16"/>
      <color rgb="FFFFFFFF"/>
      <name val="Segoe UI"/>
      <family val="2"/>
    </font>
    <font>
      <i/>
      <sz val="9"/>
      <color rgb="FF595959"/>
      <name val="Segoe UI"/>
      <family val="2"/>
    </font>
    <font>
      <b/>
      <sz val="10"/>
      <color rgb="FFFFFFFF"/>
      <name val="Segoe UI"/>
      <family val="2"/>
    </font>
    <font>
      <b/>
      <sz val="9"/>
      <name val="Segoe UI"/>
      <family val="2"/>
    </font>
    <font>
      <sz val="10"/>
      <name val="Segoe UI"/>
      <family val="2"/>
    </font>
    <font>
      <b/>
      <sz val="10"/>
      <color rgb="FF000000"/>
      <name val="Arial"/>
      <family val="2"/>
    </font>
    <font>
      <sz val="10"/>
      <color rgb="FF000000"/>
      <name val="Arial"/>
      <family val="2"/>
    </font>
    <font>
      <sz val="9"/>
      <name val="Segoe UI"/>
      <family val="2"/>
    </font>
    <font>
      <b/>
      <sz val="10"/>
      <name val="Segoe UI"/>
      <family val="2"/>
    </font>
    <font>
      <i/>
      <sz val="8"/>
      <color rgb="FF595959"/>
      <name val="Segoe UI"/>
      <family val="2"/>
    </font>
    <font>
      <b/>
      <sz val="18"/>
      <color rgb="FFFFFFFF"/>
      <name val="Segoe UI"/>
      <family val="2"/>
    </font>
    <font>
      <b/>
      <sz val="9"/>
      <color rgb="FF595959"/>
      <name val="Segoe UI"/>
      <family val="2"/>
    </font>
    <font>
      <b/>
      <sz val="8"/>
      <color rgb="FFFFFFFF"/>
      <name val="Segoe UI"/>
      <family val="2"/>
    </font>
    <font>
      <b/>
      <sz val="32"/>
      <color rgb="FFCC0000"/>
      <name val="Segoe UI"/>
      <family val="2"/>
    </font>
    <font>
      <sz val="8"/>
      <color rgb="FF1F3864"/>
      <name val="Segoe UI"/>
      <family val="2"/>
    </font>
    <font>
      <b/>
      <sz val="9"/>
      <color rgb="FF1F3864"/>
      <name val="Segoe UI"/>
      <family val="2"/>
    </font>
    <font>
      <sz val="9"/>
      <color rgb="FF1F3864"/>
      <name val="Segoe UI"/>
      <family val="2"/>
    </font>
    <font>
      <sz val="8"/>
      <color rgb="FF006100"/>
      <name val="Segoe UI"/>
      <family val="2"/>
    </font>
    <font>
      <b/>
      <sz val="9"/>
      <color rgb="FF006100"/>
      <name val="Segoe UI"/>
      <family val="2"/>
    </font>
    <font>
      <sz val="9"/>
      <color rgb="FF006100"/>
      <name val="Segoe UI"/>
      <family val="2"/>
    </font>
    <font>
      <sz val="8"/>
      <color rgb="FF375623"/>
      <name val="Segoe UI"/>
      <family val="2"/>
    </font>
    <font>
      <b/>
      <sz val="9"/>
      <color rgb="FF375623"/>
      <name val="Segoe UI"/>
      <family val="2"/>
    </font>
    <font>
      <sz val="9"/>
      <color rgb="FF375623"/>
      <name val="Segoe UI"/>
      <family val="2"/>
    </font>
    <font>
      <b/>
      <sz val="14"/>
      <name val="Segoe UI"/>
      <family val="2"/>
    </font>
    <font>
      <sz val="8"/>
      <color rgb="FF9C6500"/>
      <name val="Segoe UI"/>
      <family val="2"/>
    </font>
    <font>
      <b/>
      <sz val="9"/>
      <color rgb="FF9C6500"/>
      <name val="Segoe UI"/>
      <family val="2"/>
    </font>
    <font>
      <sz val="9"/>
      <color rgb="FF9C6500"/>
      <name val="Segoe UI"/>
      <family val="2"/>
    </font>
    <font>
      <sz val="8"/>
      <color rgb="FFC65911"/>
      <name val="Segoe UI"/>
      <family val="2"/>
    </font>
    <font>
      <b/>
      <sz val="9"/>
      <color rgb="FFC65911"/>
      <name val="Segoe UI"/>
      <family val="2"/>
    </font>
    <font>
      <sz val="9"/>
      <color rgb="FFC65911"/>
      <name val="Segoe UI"/>
      <family val="2"/>
    </font>
    <font>
      <sz val="8"/>
      <color rgb="FF9C0006"/>
      <name val="Segoe UI"/>
      <family val="2"/>
    </font>
    <font>
      <b/>
      <sz val="9"/>
      <color rgb="FF9C0006"/>
      <name val="Segoe UI"/>
      <family val="2"/>
    </font>
    <font>
      <sz val="9"/>
      <color rgb="FF9C0006"/>
      <name val="Segoe UI"/>
      <family val="2"/>
    </font>
    <font>
      <b/>
      <sz val="18"/>
      <color rgb="FFCC0000"/>
      <name val="Segoe UI"/>
      <family val="2"/>
    </font>
    <font>
      <sz val="8"/>
      <color rgb="FF595959"/>
      <name val="Segoe UI"/>
      <family val="2"/>
    </font>
    <font>
      <i/>
      <sz val="7"/>
      <color rgb="FF595959"/>
      <name val="Segoe UI"/>
      <family val="2"/>
    </font>
    <font>
      <b/>
      <sz val="9"/>
      <color rgb="FFFFFFFF"/>
      <name val="Segoe UI"/>
      <family val="2"/>
    </font>
    <font>
      <b/>
      <sz val="9"/>
      <color rgb="FF000000"/>
      <name val="Segoe UI"/>
      <family val="2"/>
    </font>
    <font>
      <b/>
      <sz val="9"/>
      <color rgb="FFFFFFFF"/>
      <name val="Arial"/>
      <family val="2"/>
    </font>
    <font>
      <b/>
      <sz val="14"/>
      <color rgb="FF000000"/>
      <name val="Arial"/>
      <family val="2"/>
    </font>
    <font>
      <sz val="9"/>
      <color rgb="FF000000"/>
      <name val="Arial"/>
      <family val="2"/>
    </font>
    <font>
      <b/>
      <sz val="9"/>
      <color rgb="FF000000"/>
      <name val="Arial"/>
      <family val="2"/>
    </font>
    <font>
      <i/>
      <sz val="8"/>
      <color rgb="FF595959"/>
      <name val="Arial"/>
      <family val="2"/>
    </font>
    <font>
      <i/>
      <sz val="9"/>
      <color rgb="FFFFFFFF"/>
      <name val="Segoe UI"/>
      <family val="2"/>
    </font>
    <font>
      <b/>
      <sz val="8"/>
      <name val="Segoe UI"/>
      <family val="2"/>
    </font>
    <font>
      <b/>
      <sz val="20"/>
      <color rgb="FFCC0000"/>
      <name val="Segoe UI"/>
      <family val="2"/>
    </font>
    <font>
      <b/>
      <sz val="20"/>
      <name val="Segoe UI"/>
      <family val="2"/>
    </font>
    <font>
      <b/>
      <sz val="16"/>
      <name val="Segoe UI"/>
      <family val="2"/>
    </font>
    <font>
      <b/>
      <sz val="20"/>
      <color rgb="FF9C0006"/>
      <name val="Segoe UI"/>
      <family val="2"/>
    </font>
    <font>
      <i/>
      <sz val="9"/>
      <color rgb="FF9C0006"/>
      <name val="Segoe UI"/>
      <family val="2"/>
    </font>
    <font>
      <sz val="9"/>
      <color rgb="FFCC0000"/>
      <name val="Segoe UI"/>
      <family val="2"/>
    </font>
    <font>
      <sz val="8"/>
      <name val="Segoe UI"/>
      <family val="2"/>
    </font>
    <font>
      <b/>
      <sz val="12"/>
      <color rgb="FFFFFFFF"/>
      <name val="Segoe UI"/>
      <family val="2"/>
    </font>
    <font>
      <b/>
      <sz val="11"/>
      <name val="Segoe UI"/>
      <family val="2"/>
    </font>
    <font>
      <i/>
      <sz val="9"/>
      <name val="Segoe UI"/>
      <family val="2"/>
    </font>
    <font>
      <b/>
      <sz val="14"/>
      <color rgb="FFFFFFFF"/>
      <name val="Arial Black"/>
      <family val="2"/>
    </font>
    <font>
      <b/>
      <sz val="9"/>
      <name val="Arial"/>
      <family val="2"/>
    </font>
    <font>
      <i/>
      <sz val="9"/>
      <color rgb="FFFFFFFF"/>
      <name val="Arial"/>
      <family val="2"/>
    </font>
    <font>
      <sz val="9"/>
      <name val="Arial"/>
      <family val="2"/>
    </font>
    <font>
      <b/>
      <sz val="11"/>
      <color rgb="FFC00000"/>
      <name val="Arial"/>
      <family val="2"/>
    </font>
    <font>
      <i/>
      <sz val="9"/>
      <color rgb="FF808080"/>
      <name val="Arial"/>
      <family val="2"/>
    </font>
    <font>
      <b/>
      <sz val="10"/>
      <name val="Arial"/>
      <family val="2"/>
    </font>
  </fonts>
  <fills count="23">
    <fill>
      <patternFill patternType="none"/>
    </fill>
    <fill>
      <patternFill patternType="gray125"/>
    </fill>
    <fill>
      <patternFill patternType="solid">
        <fgColor rgb="FFCC0000"/>
        <bgColor rgb="FFC00000"/>
      </patternFill>
    </fill>
    <fill>
      <patternFill patternType="solid">
        <fgColor rgb="FF2B2B2B"/>
        <bgColor rgb="FF2E4057"/>
      </patternFill>
    </fill>
    <fill>
      <patternFill patternType="solid">
        <fgColor rgb="FFF2F2F2"/>
        <bgColor rgb="FFF8F9FA"/>
      </patternFill>
    </fill>
    <fill>
      <patternFill patternType="solid">
        <fgColor rgb="FFC6EFCE"/>
        <bgColor rgb="FFE2EFDA"/>
      </patternFill>
    </fill>
    <fill>
      <patternFill patternType="solid">
        <fgColor rgb="FFFFF6E5"/>
        <bgColor rgb="FFF8F9FA"/>
      </patternFill>
    </fill>
    <fill>
      <patternFill patternType="solid">
        <fgColor rgb="FFBDD7EE"/>
        <bgColor rgb="FFD9D9D9"/>
      </patternFill>
    </fill>
    <fill>
      <patternFill patternType="solid">
        <fgColor rgb="FFE2EFDA"/>
        <bgColor rgb="FFF2F2F2"/>
      </patternFill>
    </fill>
    <fill>
      <patternFill patternType="solid">
        <fgColor rgb="FFFFEB9C"/>
        <bgColor rgb="FFFCE4D6"/>
      </patternFill>
    </fill>
    <fill>
      <patternFill patternType="solid">
        <fgColor rgb="FFFCE4D6"/>
        <bgColor rgb="FFFFF6E5"/>
      </patternFill>
    </fill>
    <fill>
      <patternFill patternType="solid">
        <fgColor rgb="FFFFC7CE"/>
        <bgColor rgb="FFFCE4D6"/>
      </patternFill>
    </fill>
    <fill>
      <patternFill patternType="solid">
        <fgColor rgb="FF0070C0"/>
        <bgColor rgb="FF008080"/>
      </patternFill>
    </fill>
    <fill>
      <patternFill patternType="solid">
        <fgColor rgb="FFFFC000"/>
        <bgColor rgb="FFFF9900"/>
      </patternFill>
    </fill>
    <fill>
      <patternFill patternType="solid">
        <fgColor rgb="FFA6A6A6"/>
        <bgColor rgb="FF9999FF"/>
      </patternFill>
    </fill>
    <fill>
      <patternFill patternType="solid">
        <fgColor rgb="FFED7D31"/>
        <bgColor rgb="FFFF8080"/>
      </patternFill>
    </fill>
    <fill>
      <patternFill patternType="solid">
        <fgColor rgb="FFC00000"/>
        <bgColor rgb="FFCC0000"/>
      </patternFill>
    </fill>
    <fill>
      <patternFill patternType="solid">
        <fgColor rgb="FF595959"/>
        <bgColor rgb="FF375623"/>
      </patternFill>
    </fill>
    <fill>
      <patternFill patternType="solid">
        <fgColor rgb="FF8B0000"/>
        <bgColor rgb="FF9C0006"/>
      </patternFill>
    </fill>
    <fill>
      <patternFill patternType="solid">
        <fgColor rgb="FFD9D9D9"/>
        <bgColor rgb="FFBDD7EE"/>
      </patternFill>
    </fill>
    <fill>
      <patternFill patternType="solid">
        <fgColor rgb="FF2E4057"/>
        <bgColor rgb="FF1F3864"/>
      </patternFill>
    </fill>
    <fill>
      <patternFill patternType="solid">
        <fgColor rgb="FFF8F9FA"/>
        <bgColor rgb="FFFFFFFF"/>
      </patternFill>
    </fill>
    <fill>
      <patternFill patternType="solid">
        <fgColor rgb="FFFFFFFF"/>
        <bgColor rgb="FFF8F9FA"/>
      </patternFill>
    </fill>
  </fills>
  <borders count="5">
    <border>
      <left/>
      <right/>
      <top/>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130">
    <xf numFmtId="0" fontId="0" fillId="0" borderId="0" xfId="0"/>
    <xf numFmtId="0" fontId="6" fillId="0" borderId="0" xfId="0" applyFont="1"/>
    <xf numFmtId="0" fontId="7" fillId="0" borderId="0" xfId="0" applyFont="1"/>
    <xf numFmtId="0" fontId="4" fillId="4" borderId="2" xfId="0" applyFont="1" applyFill="1" applyBorder="1" applyAlignment="1">
      <alignment horizontal="center" vertical="center"/>
    </xf>
    <xf numFmtId="0" fontId="9" fillId="5" borderId="2" xfId="0" applyFont="1" applyFill="1" applyBorder="1" applyAlignment="1">
      <alignment horizontal="center" vertical="center"/>
    </xf>
    <xf numFmtId="0" fontId="13" fillId="3" borderId="2" xfId="0" applyFont="1" applyFill="1" applyBorder="1" applyAlignment="1">
      <alignment horizontal="center" vertical="center"/>
    </xf>
    <xf numFmtId="0" fontId="15" fillId="7" borderId="2" xfId="0" applyFont="1" applyFill="1" applyBorder="1" applyAlignment="1">
      <alignment horizontal="left" vertical="center" indent="1"/>
    </xf>
    <xf numFmtId="0" fontId="16" fillId="7" borderId="2" xfId="0" applyFont="1" applyFill="1" applyBorder="1" applyAlignment="1">
      <alignment horizontal="center" vertical="center"/>
    </xf>
    <xf numFmtId="9" fontId="17" fillId="7" borderId="2" xfId="0" applyNumberFormat="1" applyFont="1" applyFill="1" applyBorder="1" applyAlignment="1">
      <alignment horizontal="center" vertical="center"/>
    </xf>
    <xf numFmtId="0" fontId="18" fillId="5" borderId="2" xfId="0" applyFont="1" applyFill="1" applyBorder="1" applyAlignment="1">
      <alignment horizontal="left" vertical="center" indent="1"/>
    </xf>
    <xf numFmtId="0" fontId="19" fillId="5" borderId="2" xfId="0" applyFont="1" applyFill="1" applyBorder="1" applyAlignment="1">
      <alignment horizontal="center" vertical="center"/>
    </xf>
    <xf numFmtId="9" fontId="20" fillId="5" borderId="2" xfId="0" applyNumberFormat="1" applyFont="1" applyFill="1" applyBorder="1" applyAlignment="1">
      <alignment horizontal="center" vertical="center"/>
    </xf>
    <xf numFmtId="0" fontId="21" fillId="8" borderId="2" xfId="0" applyFont="1" applyFill="1" applyBorder="1" applyAlignment="1">
      <alignment horizontal="left" vertical="center" indent="1"/>
    </xf>
    <xf numFmtId="0" fontId="22" fillId="8" borderId="2" xfId="0" applyFont="1" applyFill="1" applyBorder="1" applyAlignment="1">
      <alignment horizontal="center" vertical="center"/>
    </xf>
    <xf numFmtId="9" fontId="23" fillId="8" borderId="2" xfId="0" applyNumberFormat="1" applyFont="1" applyFill="1" applyBorder="1" applyAlignment="1">
      <alignment horizontal="center" vertical="center"/>
    </xf>
    <xf numFmtId="0" fontId="24" fillId="0" borderId="2" xfId="0" applyFont="1" applyBorder="1" applyAlignment="1">
      <alignment horizontal="center" vertical="center"/>
    </xf>
    <xf numFmtId="0" fontId="25" fillId="9" borderId="2" xfId="0" applyFont="1" applyFill="1" applyBorder="1" applyAlignment="1">
      <alignment horizontal="left" vertical="center" indent="1"/>
    </xf>
    <xf numFmtId="0" fontId="26" fillId="9" borderId="2" xfId="0" applyFont="1" applyFill="1" applyBorder="1" applyAlignment="1">
      <alignment horizontal="center" vertical="center"/>
    </xf>
    <xf numFmtId="9" fontId="27" fillId="9" borderId="2" xfId="0" applyNumberFormat="1" applyFont="1" applyFill="1" applyBorder="1" applyAlignment="1">
      <alignment horizontal="center" vertical="center"/>
    </xf>
    <xf numFmtId="0" fontId="28" fillId="10" borderId="2" xfId="0" applyFont="1" applyFill="1" applyBorder="1" applyAlignment="1">
      <alignment horizontal="left" vertical="center" indent="1"/>
    </xf>
    <xf numFmtId="0" fontId="29" fillId="10" borderId="2" xfId="0" applyFont="1" applyFill="1" applyBorder="1" applyAlignment="1">
      <alignment horizontal="center" vertical="center"/>
    </xf>
    <xf numFmtId="9" fontId="30" fillId="10" borderId="2" xfId="0" applyNumberFormat="1" applyFont="1" applyFill="1" applyBorder="1" applyAlignment="1">
      <alignment horizontal="center" vertical="center"/>
    </xf>
    <xf numFmtId="0" fontId="31" fillId="11" borderId="2" xfId="0" applyFont="1" applyFill="1" applyBorder="1" applyAlignment="1">
      <alignment horizontal="left" vertical="center" indent="1"/>
    </xf>
    <xf numFmtId="0" fontId="32" fillId="11" borderId="2" xfId="0" applyFont="1" applyFill="1" applyBorder="1" applyAlignment="1">
      <alignment horizontal="center" vertical="center"/>
    </xf>
    <xf numFmtId="9" fontId="33" fillId="11" borderId="2" xfId="0" applyNumberFormat="1" applyFont="1" applyFill="1" applyBorder="1" applyAlignment="1">
      <alignment horizontal="center" vertical="center"/>
    </xf>
    <xf numFmtId="0" fontId="39" fillId="16" borderId="0" xfId="0" applyFont="1" applyFill="1" applyAlignment="1">
      <alignment horizontal="left" vertical="center" indent="1"/>
    </xf>
    <xf numFmtId="0" fontId="39" fillId="17" borderId="0" xfId="0" applyFont="1" applyFill="1" applyAlignment="1">
      <alignment horizontal="center" vertical="center"/>
    </xf>
    <xf numFmtId="0" fontId="0" fillId="4" borderId="0" xfId="0" applyFill="1"/>
    <xf numFmtId="9" fontId="40" fillId="4" borderId="0" xfId="0" applyNumberFormat="1" applyFont="1" applyFill="1" applyAlignment="1">
      <alignment horizontal="center" vertical="center"/>
    </xf>
    <xf numFmtId="0" fontId="41" fillId="4" borderId="0" xfId="0" applyFont="1" applyFill="1" applyAlignment="1">
      <alignment horizontal="center" vertical="center"/>
    </xf>
    <xf numFmtId="0" fontId="42" fillId="4" borderId="0" xfId="0" applyFont="1" applyFill="1" applyAlignment="1">
      <alignment horizontal="center" vertical="center"/>
    </xf>
    <xf numFmtId="0" fontId="43" fillId="4" borderId="0" xfId="0" applyFont="1" applyFill="1" applyAlignment="1">
      <alignment horizontal="center" vertical="center" wrapText="1"/>
    </xf>
    <xf numFmtId="0" fontId="43" fillId="4" borderId="0" xfId="0" applyFont="1" applyFill="1" applyAlignment="1">
      <alignment horizontal="center" vertical="center"/>
    </xf>
    <xf numFmtId="0" fontId="4" fillId="4" borderId="2" xfId="0" applyFont="1" applyFill="1" applyBorder="1" applyAlignment="1">
      <alignment horizontal="left" vertical="center" indent="1"/>
    </xf>
    <xf numFmtId="0" fontId="45" fillId="4" borderId="2" xfId="0" applyFont="1" applyFill="1" applyBorder="1" applyAlignment="1">
      <alignment horizontal="center" vertical="center" wrapText="1"/>
    </xf>
    <xf numFmtId="164" fontId="46" fillId="0" borderId="2" xfId="0" applyNumberFormat="1" applyFont="1" applyBorder="1" applyAlignment="1">
      <alignment horizontal="center" vertical="center"/>
    </xf>
    <xf numFmtId="0" fontId="47" fillId="0" borderId="2" xfId="0" applyFont="1" applyBorder="1" applyAlignment="1">
      <alignment horizontal="center" vertical="center"/>
    </xf>
    <xf numFmtId="0" fontId="48" fillId="0" borderId="2" xfId="0" applyFont="1" applyBorder="1" applyAlignment="1">
      <alignment horizontal="center" vertical="center"/>
    </xf>
    <xf numFmtId="0" fontId="46" fillId="0" borderId="2" xfId="0" applyFont="1" applyBorder="1" applyAlignment="1">
      <alignment horizontal="center" vertical="center"/>
    </xf>
    <xf numFmtId="0" fontId="49" fillId="0" borderId="2" xfId="0" applyFont="1" applyBorder="1" applyAlignment="1">
      <alignment horizontal="center" vertical="center"/>
    </xf>
    <xf numFmtId="0" fontId="16" fillId="7" borderId="2"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22" fillId="8" borderId="2" xfId="0" applyFont="1" applyFill="1" applyBorder="1" applyAlignment="1">
      <alignment horizontal="center" vertical="center" wrapText="1"/>
    </xf>
    <xf numFmtId="0" fontId="26" fillId="9" borderId="2" xfId="0" applyFont="1" applyFill="1" applyBorder="1" applyAlignment="1">
      <alignment horizontal="center" vertical="center" wrapText="1"/>
    </xf>
    <xf numFmtId="0" fontId="29" fillId="10" borderId="2" xfId="0" applyFont="1" applyFill="1" applyBorder="1" applyAlignment="1">
      <alignment horizontal="center" vertical="center" wrapText="1"/>
    </xf>
    <xf numFmtId="0" fontId="32" fillId="11" borderId="2"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8" fillId="0" borderId="2" xfId="0" applyFont="1" applyBorder="1" applyAlignment="1">
      <alignment vertical="top" wrapText="1"/>
    </xf>
    <xf numFmtId="0" fontId="8" fillId="0" borderId="2" xfId="0" applyFont="1" applyBorder="1" applyAlignment="1">
      <alignment horizontal="center" vertical="top"/>
    </xf>
    <xf numFmtId="164" fontId="4" fillId="0" borderId="2" xfId="0" applyNumberFormat="1" applyFont="1" applyBorder="1" applyAlignment="1">
      <alignment horizontal="center" vertical="top"/>
    </xf>
    <xf numFmtId="0" fontId="37" fillId="2" borderId="2" xfId="0" applyFont="1" applyFill="1" applyBorder="1" applyAlignment="1">
      <alignment horizontal="center" vertical="center"/>
    </xf>
    <xf numFmtId="0" fontId="8" fillId="0" borderId="0" xfId="0" applyFont="1" applyAlignment="1">
      <alignment vertical="top" wrapText="1"/>
    </xf>
    <xf numFmtId="0" fontId="37" fillId="20" borderId="2" xfId="0" applyFont="1" applyFill="1" applyBorder="1" applyAlignment="1">
      <alignment horizontal="center" vertical="center"/>
    </xf>
    <xf numFmtId="0" fontId="0" fillId="21" borderId="2" xfId="0" applyFill="1" applyBorder="1"/>
    <xf numFmtId="0" fontId="45" fillId="0" borderId="2" xfId="0" applyFont="1" applyBorder="1" applyAlignment="1">
      <alignment vertical="top" wrapText="1"/>
    </xf>
    <xf numFmtId="0" fontId="52" fillId="0" borderId="2" xfId="0" applyFont="1" applyBorder="1" applyAlignment="1">
      <alignment vertical="top" wrapText="1"/>
    </xf>
    <xf numFmtId="0" fontId="9" fillId="0" borderId="2" xfId="0" applyFont="1" applyBorder="1" applyAlignment="1">
      <alignment vertical="top" wrapText="1"/>
    </xf>
    <xf numFmtId="0" fontId="4" fillId="4" borderId="2" xfId="0" applyFont="1" applyFill="1" applyBorder="1" applyAlignment="1">
      <alignment vertical="top" wrapText="1"/>
    </xf>
    <xf numFmtId="0" fontId="0" fillId="4" borderId="2" xfId="0" applyFill="1" applyBorder="1"/>
    <xf numFmtId="0" fontId="4" fillId="0" borderId="2" xfId="0" applyFont="1" applyBorder="1" applyAlignment="1">
      <alignment vertical="top" wrapText="1"/>
    </xf>
    <xf numFmtId="0" fontId="4" fillId="0" borderId="2" xfId="0" applyFont="1" applyBorder="1" applyAlignment="1">
      <alignment horizontal="center"/>
    </xf>
    <xf numFmtId="164" fontId="9" fillId="0" borderId="2" xfId="0" applyNumberFormat="1" applyFont="1" applyBorder="1" applyAlignment="1">
      <alignment horizontal="center"/>
    </xf>
    <xf numFmtId="0" fontId="8" fillId="0" borderId="2" xfId="0" applyFont="1" applyBorder="1" applyAlignment="1">
      <alignment horizontal="center"/>
    </xf>
    <xf numFmtId="0" fontId="54" fillId="0" borderId="2" xfId="0" applyFont="1" applyBorder="1" applyAlignment="1">
      <alignment vertical="top" wrapText="1"/>
    </xf>
    <xf numFmtId="164" fontId="54" fillId="0" borderId="2" xfId="0" applyNumberFormat="1" applyFont="1" applyBorder="1" applyAlignment="1">
      <alignment horizontal="center"/>
    </xf>
    <xf numFmtId="0" fontId="37" fillId="2" borderId="2" xfId="0" applyFont="1" applyFill="1" applyBorder="1" applyAlignment="1">
      <alignment horizontal="center" vertical="center" wrapText="1"/>
    </xf>
    <xf numFmtId="0" fontId="45" fillId="2" borderId="2" xfId="0" applyFont="1" applyFill="1" applyBorder="1" applyAlignment="1">
      <alignment vertical="top" wrapText="1"/>
    </xf>
    <xf numFmtId="0" fontId="4" fillId="0" borderId="2" xfId="0" applyFont="1" applyBorder="1" applyAlignment="1">
      <alignment horizontal="center" vertical="top" wrapText="1"/>
    </xf>
    <xf numFmtId="0" fontId="55" fillId="6" borderId="2" xfId="0" applyFont="1" applyFill="1" applyBorder="1" applyAlignment="1">
      <alignment vertical="top" wrapText="1"/>
    </xf>
    <xf numFmtId="0" fontId="4" fillId="0" borderId="2" xfId="0" applyFont="1" applyBorder="1" applyAlignment="1">
      <alignment horizontal="center" vertical="top"/>
    </xf>
    <xf numFmtId="0" fontId="35" fillId="0" borderId="2" xfId="0" applyFont="1" applyBorder="1" applyAlignment="1">
      <alignment horizontal="left" vertical="top" wrapText="1"/>
    </xf>
    <xf numFmtId="0" fontId="56" fillId="16" borderId="0" xfId="0" applyFont="1" applyFill="1" applyAlignment="1">
      <alignment horizontal="left" vertical="center" indent="1"/>
    </xf>
    <xf numFmtId="0" fontId="57" fillId="0" borderId="0" xfId="0" applyFont="1"/>
    <xf numFmtId="0" fontId="58" fillId="17" borderId="0" xfId="0" applyFont="1" applyFill="1" applyAlignment="1">
      <alignment horizontal="left" vertical="center" wrapText="1" indent="1"/>
    </xf>
    <xf numFmtId="0" fontId="59" fillId="0" borderId="0" xfId="0" applyFont="1"/>
    <xf numFmtId="0" fontId="60" fillId="0" borderId="0" xfId="0" applyFont="1"/>
    <xf numFmtId="0" fontId="61" fillId="0" borderId="0" xfId="0" applyFont="1"/>
    <xf numFmtId="0" fontId="39" fillId="17" borderId="0" xfId="0" applyFont="1" applyFill="1"/>
    <xf numFmtId="0" fontId="62" fillId="0" borderId="0" xfId="0" applyFont="1"/>
    <xf numFmtId="9" fontId="0" fillId="0" borderId="0" xfId="0" applyNumberFormat="1"/>
    <xf numFmtId="0" fontId="39" fillId="16" borderId="0" xfId="0" applyFont="1" applyFill="1" applyAlignment="1">
      <alignment horizontal="center" vertical="center" wrapText="1"/>
    </xf>
    <xf numFmtId="0" fontId="41" fillId="22" borderId="0" xfId="0" applyFont="1" applyFill="1" applyAlignment="1">
      <alignment vertical="top" wrapText="1"/>
    </xf>
    <xf numFmtId="0" fontId="41" fillId="4" borderId="0" xfId="0" applyFont="1" applyFill="1" applyAlignment="1">
      <alignment vertical="top" wrapText="1"/>
    </xf>
    <xf numFmtId="0" fontId="4" fillId="0" borderId="0" xfId="0" applyFont="1"/>
    <xf numFmtId="0" fontId="0" fillId="0" borderId="0" xfId="0" applyAlignment="1">
      <alignment wrapText="1"/>
    </xf>
    <xf numFmtId="0" fontId="51" fillId="6" borderId="1" xfId="0" applyFont="1" applyFill="1" applyBorder="1" applyAlignment="1">
      <alignment horizontal="left" vertical="center" indent="1"/>
    </xf>
    <xf numFmtId="0" fontId="0" fillId="0" borderId="3" xfId="0" applyBorder="1"/>
    <xf numFmtId="0" fontId="2" fillId="0" borderId="1" xfId="0" applyFont="1" applyBorder="1" applyAlignment="1">
      <alignment horizontal="left" vertical="center" indent="1"/>
    </xf>
    <xf numFmtId="0" fontId="1" fillId="2" borderId="1" xfId="0" applyFont="1" applyFill="1" applyBorder="1" applyAlignment="1">
      <alignment horizontal="left" vertical="center" indent="1"/>
    </xf>
    <xf numFmtId="0" fontId="5" fillId="0" borderId="1" xfId="0" applyFont="1" applyBorder="1" applyAlignment="1">
      <alignment horizontal="left" vertical="center" indent="1"/>
    </xf>
    <xf numFmtId="0" fontId="4" fillId="4" borderId="1" xfId="0" applyFont="1" applyFill="1" applyBorder="1" applyAlignment="1">
      <alignment horizontal="left" vertical="center" indent="1"/>
    </xf>
    <xf numFmtId="0" fontId="8" fillId="0" borderId="1" xfId="0" applyFont="1" applyBorder="1" applyAlignment="1">
      <alignment horizontal="left" vertical="center" wrapText="1" indent="1"/>
    </xf>
    <xf numFmtId="0" fontId="10" fillId="0" borderId="1" xfId="0" applyFont="1" applyBorder="1" applyAlignment="1">
      <alignment horizontal="left" vertical="center" wrapText="1" indent="1"/>
    </xf>
    <xf numFmtId="0" fontId="3" fillId="3" borderId="1" xfId="0" applyFont="1" applyFill="1" applyBorder="1" applyAlignment="1">
      <alignment horizontal="left" vertical="center" indent="1"/>
    </xf>
    <xf numFmtId="0" fontId="5" fillId="0" borderId="1" xfId="0" applyFont="1" applyBorder="1" applyAlignment="1">
      <alignment vertical="center" wrapText="1"/>
    </xf>
    <xf numFmtId="0" fontId="2" fillId="6" borderId="1" xfId="0" applyFont="1" applyFill="1" applyBorder="1" applyAlignment="1">
      <alignment horizontal="left" vertical="top" wrapText="1"/>
    </xf>
    <xf numFmtId="164" fontId="34" fillId="0" borderId="2" xfId="0" applyNumberFormat="1" applyFont="1" applyBorder="1" applyAlignment="1">
      <alignment horizontal="center" vertical="center"/>
    </xf>
    <xf numFmtId="0" fontId="0" fillId="0" borderId="4" xfId="0" applyBorder="1"/>
    <xf numFmtId="0" fontId="36" fillId="0" borderId="2" xfId="0" applyFont="1" applyBorder="1" applyAlignment="1">
      <alignment horizontal="center" vertical="center"/>
    </xf>
    <xf numFmtId="0" fontId="37" fillId="15" borderId="2" xfId="0" applyFont="1" applyFill="1" applyBorder="1" applyAlignment="1">
      <alignment horizontal="center" vertical="center"/>
    </xf>
    <xf numFmtId="0" fontId="9" fillId="0" borderId="2" xfId="0" applyFont="1" applyBorder="1" applyAlignment="1">
      <alignment horizontal="center" vertical="center"/>
    </xf>
    <xf numFmtId="0" fontId="3" fillId="3" borderId="2" xfId="0" applyFont="1" applyFill="1" applyBorder="1" applyAlignment="1">
      <alignment horizontal="left" vertical="center" indent="1"/>
    </xf>
    <xf numFmtId="0" fontId="35" fillId="0" borderId="2" xfId="0" applyFont="1" applyBorder="1" applyAlignment="1">
      <alignment horizontal="center" vertical="center"/>
    </xf>
    <xf numFmtId="0" fontId="2" fillId="0" borderId="2" xfId="0" applyFont="1" applyBorder="1" applyAlignment="1">
      <alignment horizontal="left" vertical="center" indent="1"/>
    </xf>
    <xf numFmtId="0" fontId="3" fillId="3" borderId="2" xfId="0" applyFont="1" applyFill="1" applyBorder="1" applyAlignment="1">
      <alignment horizontal="center" vertical="center"/>
    </xf>
    <xf numFmtId="0" fontId="13" fillId="2" borderId="2" xfId="0" applyFont="1" applyFill="1" applyBorder="1" applyAlignment="1">
      <alignment horizontal="center" vertical="center"/>
    </xf>
    <xf numFmtId="164" fontId="14" fillId="0" borderId="2" xfId="0" applyNumberFormat="1" applyFont="1" applyBorder="1" applyAlignment="1">
      <alignment horizontal="center" vertical="center"/>
    </xf>
    <xf numFmtId="0" fontId="38" fillId="13" borderId="2" xfId="0" applyFont="1" applyFill="1" applyBorder="1" applyAlignment="1">
      <alignment horizontal="center" vertical="center"/>
    </xf>
    <xf numFmtId="0" fontId="37" fillId="3" borderId="2" xfId="0" applyFont="1" applyFill="1" applyBorder="1" applyAlignment="1">
      <alignment horizontal="left" vertical="center" indent="1"/>
    </xf>
    <xf numFmtId="0" fontId="5" fillId="4" borderId="2" xfId="0" applyFont="1" applyFill="1" applyBorder="1" applyAlignment="1">
      <alignment horizontal="left" vertical="center" indent="1"/>
    </xf>
    <xf numFmtId="0" fontId="12" fillId="0" borderId="2" xfId="0" applyFont="1" applyBorder="1" applyAlignment="1">
      <alignment horizontal="center" vertical="center"/>
    </xf>
    <xf numFmtId="0" fontId="37" fillId="14" borderId="2" xfId="0" applyFont="1" applyFill="1" applyBorder="1" applyAlignment="1">
      <alignment horizontal="center" vertical="center"/>
    </xf>
    <xf numFmtId="0" fontId="11" fillId="2" borderId="2" xfId="0" applyFont="1" applyFill="1" applyBorder="1" applyAlignment="1">
      <alignment horizontal="left" vertical="center" indent="1"/>
    </xf>
    <xf numFmtId="0" fontId="38" fillId="4" borderId="2" xfId="0" applyFont="1" applyFill="1" applyBorder="1" applyAlignment="1">
      <alignment horizontal="center" vertical="center"/>
    </xf>
    <xf numFmtId="0" fontId="24" fillId="0" borderId="2" xfId="0" applyFont="1" applyBorder="1" applyAlignment="1">
      <alignment horizontal="center" vertical="center"/>
    </xf>
    <xf numFmtId="0" fontId="37" fillId="12" borderId="2" xfId="0" applyFont="1" applyFill="1" applyBorder="1" applyAlignment="1">
      <alignment horizontal="center" vertical="center"/>
    </xf>
    <xf numFmtId="0" fontId="5" fillId="0" borderId="1" xfId="0" applyFont="1" applyBorder="1" applyAlignment="1">
      <alignment vertical="top" wrapText="1"/>
    </xf>
    <xf numFmtId="0" fontId="50" fillId="6" borderId="1" xfId="0" applyFont="1" applyFill="1" applyBorder="1" applyAlignment="1">
      <alignment horizontal="left" vertical="center" indent="1"/>
    </xf>
    <xf numFmtId="0" fontId="44" fillId="18" borderId="1" xfId="0" applyFont="1" applyFill="1" applyBorder="1" applyAlignment="1">
      <alignment horizontal="left" vertical="center" indent="1"/>
    </xf>
    <xf numFmtId="0" fontId="53" fillId="3" borderId="1" xfId="0" applyFont="1" applyFill="1" applyBorder="1" applyAlignment="1">
      <alignment horizontal="left" vertical="center"/>
    </xf>
    <xf numFmtId="0" fontId="3" fillId="3" borderId="1" xfId="0" applyFont="1" applyFill="1" applyBorder="1" applyAlignment="1">
      <alignment horizontal="left" vertical="center"/>
    </xf>
    <xf numFmtId="0" fontId="54" fillId="0" borderId="1" xfId="0" applyFont="1" applyBorder="1" applyAlignment="1">
      <alignment horizontal="center" vertical="center"/>
    </xf>
    <xf numFmtId="0" fontId="2" fillId="0" borderId="1" xfId="0" applyFont="1" applyBorder="1" applyAlignment="1">
      <alignment horizontal="left" vertical="center"/>
    </xf>
    <xf numFmtId="0" fontId="1" fillId="2" borderId="1" xfId="0" applyFont="1" applyFill="1" applyBorder="1" applyAlignment="1">
      <alignment horizontal="left" vertical="center"/>
    </xf>
    <xf numFmtId="0" fontId="53" fillId="3" borderId="2" xfId="0" applyFont="1" applyFill="1" applyBorder="1" applyAlignment="1">
      <alignment horizontal="left" vertical="center"/>
    </xf>
    <xf numFmtId="0" fontId="5" fillId="0" borderId="2" xfId="0" applyFont="1" applyBorder="1" applyAlignment="1">
      <alignment horizontal="left" vertical="center" indent="1"/>
    </xf>
    <xf numFmtId="0" fontId="3" fillId="3" borderId="2" xfId="0" applyFont="1" applyFill="1" applyBorder="1" applyAlignment="1">
      <alignment horizontal="left" vertical="center"/>
    </xf>
    <xf numFmtId="0" fontId="54" fillId="0" borderId="2" xfId="0" applyFont="1" applyBorder="1" applyAlignment="1">
      <alignment horizontal="center" vertical="center"/>
    </xf>
    <xf numFmtId="0" fontId="2" fillId="0" borderId="2" xfId="0" applyFont="1" applyBorder="1" applyAlignment="1">
      <alignment horizontal="left" vertical="center"/>
    </xf>
    <xf numFmtId="0" fontId="1" fillId="2" borderId="2" xfId="0" applyFont="1" applyFill="1" applyBorder="1" applyAlignment="1">
      <alignment horizontal="left" vertical="center"/>
    </xf>
  </cellXfs>
  <cellStyles count="1">
    <cellStyle name="Normal" xfId="0" builtinId="0"/>
  </cellStyles>
  <dxfs count="255">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11"/>
        <color rgb="FF000000"/>
        <name val="Segoe UI"/>
        <charset val="1"/>
      </font>
      <fill>
        <patternFill>
          <bgColor rgb="FFF2F2F2"/>
        </patternFill>
      </fill>
    </dxf>
    <dxf>
      <font>
        <b/>
        <sz val="11"/>
        <color rgb="FFFFFFFF"/>
        <name val="Segoe UI"/>
        <charset val="1"/>
      </font>
      <fill>
        <patternFill>
          <bgColor rgb="FFED7D31"/>
        </patternFill>
      </fill>
    </dxf>
    <dxf>
      <font>
        <b/>
        <sz val="11"/>
        <color rgb="FFFFFFFF"/>
        <name val="Segoe UI"/>
        <charset val="1"/>
      </font>
      <fill>
        <patternFill>
          <bgColor rgb="FFA6A6A6"/>
        </patternFill>
      </fill>
    </dxf>
    <dxf>
      <font>
        <b/>
        <sz val="11"/>
        <color rgb="FF000000"/>
        <name val="Segoe UI"/>
        <charset val="1"/>
      </font>
      <fill>
        <patternFill>
          <bgColor rgb="FFFFC000"/>
        </patternFill>
      </fill>
    </dxf>
    <dxf>
      <font>
        <b/>
        <sz val="11"/>
        <color rgb="FFFFFFFF"/>
        <name val="Segoe UI"/>
        <charset val="1"/>
      </font>
      <fill>
        <patternFill>
          <bgColor rgb="FF0070C0"/>
        </patternFill>
      </fill>
    </dxf>
    <dxf>
      <font>
        <sz val="9"/>
        <color rgb="FF595959"/>
        <name val="Segoe UI"/>
        <charset val="1"/>
      </font>
      <fill>
        <patternFill>
          <bgColor rgb="FFD9D9D9"/>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sz val="9"/>
        <color rgb="FF006100"/>
        <name val="Segoe UI"/>
        <charset val="1"/>
      </font>
      <fill>
        <patternFill>
          <bgColor rgb="FFC6EFCE"/>
        </patternFill>
      </fill>
    </dxf>
    <dxf>
      <font>
        <sz val="9"/>
        <color rgb="FF1F3864"/>
        <name val="Segoe UI"/>
        <charset val="1"/>
      </font>
      <fill>
        <patternFill>
          <bgColor rgb="FFBDD7EE"/>
        </patternFill>
      </fill>
    </dxf>
    <dxf>
      <font>
        <b/>
        <sz val="9"/>
        <color rgb="FF595959"/>
        <name val="Segoe UI"/>
        <charset val="1"/>
      </font>
      <fill>
        <patternFill>
          <bgColor rgb="FFD9D9D9"/>
        </patternFill>
      </fill>
    </dxf>
    <dxf>
      <font>
        <b/>
        <sz val="9"/>
        <color rgb="FF006100"/>
        <name val="Segoe UI"/>
        <charset val="1"/>
      </font>
      <fill>
        <patternFill>
          <bgColor rgb="FFC6EFCE"/>
        </patternFill>
      </fill>
    </dxf>
    <dxf>
      <font>
        <b/>
        <sz val="9"/>
        <color rgb="FF9C6500"/>
        <name val="Segoe UI"/>
        <charset val="1"/>
      </font>
      <fill>
        <patternFill>
          <bgColor rgb="FFFFEB9C"/>
        </patternFill>
      </fill>
    </dxf>
    <dxf>
      <font>
        <b/>
        <sz val="9"/>
        <color rgb="FF9C0006"/>
        <name val="Segoe UI"/>
        <charset val="1"/>
      </font>
      <fill>
        <patternFill>
          <bgColor rgb="FFFFC7CE"/>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b/>
        <sz val="9"/>
        <color rgb="FF000000"/>
        <name val="Segoe UI"/>
        <charset val="1"/>
      </font>
      <fill>
        <patternFill>
          <bgColor rgb="FFF2F2F2"/>
        </patternFill>
      </fill>
    </dxf>
    <dxf>
      <font>
        <b/>
        <sz val="9"/>
        <color rgb="FFFFFFFF"/>
        <name val="Segoe UI"/>
        <charset val="1"/>
      </font>
      <fill>
        <patternFill>
          <bgColor rgb="FFED7D31"/>
        </patternFill>
      </fill>
    </dxf>
    <dxf>
      <font>
        <b/>
        <sz val="9"/>
        <color rgb="FFFFFFFF"/>
        <name val="Segoe UI"/>
        <charset val="1"/>
      </font>
      <fill>
        <patternFill>
          <bgColor rgb="FFA6A6A6"/>
        </patternFill>
      </fill>
    </dxf>
    <dxf>
      <font>
        <b/>
        <sz val="9"/>
        <color rgb="FF000000"/>
        <name val="Segoe UI"/>
        <charset val="1"/>
      </font>
      <fill>
        <patternFill>
          <bgColor rgb="FFFFC000"/>
        </patternFill>
      </fill>
    </dxf>
    <dxf>
      <font>
        <b/>
        <sz val="9"/>
        <color rgb="FFFFFFFF"/>
        <name val="Segoe UI"/>
        <charset val="1"/>
      </font>
      <fill>
        <patternFill>
          <bgColor rgb="FF0070C0"/>
        </patternFill>
      </fill>
    </dxf>
    <dxf>
      <font>
        <sz val="9"/>
        <color rgb="FF9C0006"/>
        <name val="Segoe UI"/>
        <charset val="1"/>
      </font>
      <fill>
        <patternFill>
          <bgColor rgb="FFFFC7CE"/>
        </patternFill>
      </fill>
    </dxf>
    <dxf>
      <font>
        <sz val="9"/>
        <color rgb="FFC65911"/>
        <name val="Segoe UI"/>
        <charset val="1"/>
      </font>
      <fill>
        <patternFill>
          <bgColor rgb="FFFCE4D6"/>
        </patternFill>
      </fill>
    </dxf>
    <dxf>
      <font>
        <sz val="9"/>
        <color rgb="FF9C6500"/>
        <name val="Segoe UI"/>
        <charset val="1"/>
      </font>
      <fill>
        <patternFill>
          <bgColor rgb="FFFFEB9C"/>
        </patternFill>
      </fill>
    </dxf>
    <dxf>
      <font>
        <sz val="9"/>
        <color rgb="FF375623"/>
        <name val="Segoe UI"/>
        <charset val="1"/>
      </font>
      <fill>
        <patternFill>
          <bgColor rgb="FFE2EFDA"/>
        </patternFill>
      </fill>
    </dxf>
    <dxf>
      <font>
        <b/>
        <sz val="14"/>
        <color rgb="FF000000"/>
        <name val="Segoe UI"/>
        <charset val="1"/>
      </font>
      <fill>
        <patternFill>
          <bgColor rgb="FFF2F2F2"/>
        </patternFill>
      </fill>
    </dxf>
    <dxf>
      <font>
        <b/>
        <sz val="14"/>
        <color rgb="FFFFFFFF"/>
        <name val="Segoe UI"/>
        <charset val="1"/>
      </font>
      <fill>
        <patternFill>
          <bgColor rgb="FFED7D31"/>
        </patternFill>
      </fill>
    </dxf>
    <dxf>
      <font>
        <b/>
        <sz val="14"/>
        <color rgb="FFFFFFFF"/>
        <name val="Segoe UI"/>
        <charset val="1"/>
      </font>
      <fill>
        <patternFill>
          <bgColor rgb="FFA6A6A6"/>
        </patternFill>
      </fill>
    </dxf>
    <dxf>
      <font>
        <b/>
        <sz val="14"/>
        <color rgb="FF000000"/>
        <name val="Segoe UI"/>
        <charset val="1"/>
      </font>
      <fill>
        <patternFill>
          <bgColor rgb="FFFFC000"/>
        </patternFill>
      </fill>
    </dxf>
    <dxf>
      <font>
        <b/>
        <sz val="14"/>
        <color rgb="FFFFFFFF"/>
        <name val="Segoe UI"/>
        <charset val="1"/>
      </font>
      <fill>
        <patternFill>
          <bgColor rgb="FF0070C0"/>
        </patternFill>
      </fill>
    </dxf>
    <dxf>
      <font>
        <b/>
        <sz val="10"/>
        <color rgb="FF000000"/>
        <name val="Segoe UI"/>
        <charset val="1"/>
      </font>
      <fill>
        <patternFill>
          <bgColor rgb="FFF2F2F2"/>
        </patternFill>
      </fill>
    </dxf>
    <dxf>
      <font>
        <b/>
        <sz val="10"/>
        <color rgb="FFFFFFFF"/>
        <name val="Segoe UI"/>
        <charset val="1"/>
      </font>
      <fill>
        <patternFill>
          <bgColor rgb="FFED7D31"/>
        </patternFill>
      </fill>
    </dxf>
    <dxf>
      <font>
        <b/>
        <sz val="10"/>
        <color rgb="FFFFFFFF"/>
        <name val="Segoe UI"/>
        <charset val="1"/>
      </font>
      <fill>
        <patternFill>
          <bgColor rgb="FFA6A6A6"/>
        </patternFill>
      </fill>
    </dxf>
    <dxf>
      <font>
        <b/>
        <sz val="10"/>
        <color rgb="FF000000"/>
        <name val="Segoe UI"/>
        <charset val="1"/>
      </font>
      <fill>
        <patternFill>
          <bgColor rgb="FFFFC000"/>
        </patternFill>
      </fill>
    </dxf>
    <dxf>
      <font>
        <b/>
        <sz val="10"/>
        <color rgb="FFFFFFFF"/>
        <name val="Segoe UI"/>
        <charset val="1"/>
      </font>
      <fill>
        <patternFill>
          <bgColor rgb="FF0070C0"/>
        </patternFill>
      </fill>
    </dxf>
    <dxf>
      <font>
        <b/>
        <sz val="10"/>
        <color rgb="FF000000"/>
        <name val="Segoe UI"/>
        <charset val="1"/>
      </font>
      <fill>
        <patternFill>
          <bgColor rgb="FFF2F2F2"/>
        </patternFill>
      </fill>
    </dxf>
    <dxf>
      <font>
        <b/>
        <sz val="10"/>
        <color rgb="FFFFFFFF"/>
        <name val="Segoe UI"/>
        <charset val="1"/>
      </font>
      <fill>
        <patternFill>
          <bgColor rgb="FFED7D31"/>
        </patternFill>
      </fill>
    </dxf>
    <dxf>
      <font>
        <b/>
        <sz val="10"/>
        <color rgb="FFFFFFFF"/>
        <name val="Segoe UI"/>
        <charset val="1"/>
      </font>
      <fill>
        <patternFill>
          <bgColor rgb="FFA6A6A6"/>
        </patternFill>
      </fill>
    </dxf>
    <dxf>
      <font>
        <b/>
        <sz val="10"/>
        <color rgb="FF000000"/>
        <name val="Segoe UI"/>
        <charset val="1"/>
      </font>
      <fill>
        <patternFill>
          <bgColor rgb="FFFFC000"/>
        </patternFill>
      </fill>
    </dxf>
    <dxf>
      <font>
        <b/>
        <sz val="10"/>
        <color rgb="FFFFFFFF"/>
        <name val="Segoe UI"/>
        <charset val="1"/>
      </font>
      <fill>
        <patternFill>
          <bgColor rgb="FF0070C0"/>
        </patternFill>
      </fill>
    </dxf>
    <dxf>
      <font>
        <b/>
        <sz val="14"/>
        <color rgb="FF000000"/>
        <name val="Segoe UI"/>
        <charset val="1"/>
      </font>
      <fill>
        <patternFill>
          <bgColor rgb="FFF2F2F2"/>
        </patternFill>
      </fill>
    </dxf>
    <dxf>
      <font>
        <b/>
        <sz val="14"/>
        <color rgb="FFFFFFFF"/>
        <name val="Segoe UI"/>
        <charset val="1"/>
      </font>
      <fill>
        <patternFill>
          <bgColor rgb="FFED7D31"/>
        </patternFill>
      </fill>
    </dxf>
    <dxf>
      <font>
        <b/>
        <sz val="14"/>
        <color rgb="FFFFFFFF"/>
        <name val="Segoe UI"/>
        <charset val="1"/>
      </font>
      <fill>
        <patternFill>
          <bgColor rgb="FFA6A6A6"/>
        </patternFill>
      </fill>
    </dxf>
    <dxf>
      <font>
        <b/>
        <sz val="14"/>
        <color rgb="FF000000"/>
        <name val="Segoe UI"/>
        <charset val="1"/>
      </font>
      <fill>
        <patternFill>
          <bgColor rgb="FFFFC000"/>
        </patternFill>
      </fill>
    </dxf>
    <dxf>
      <font>
        <b/>
        <sz val="14"/>
        <color rgb="FFFFFFFF"/>
        <name val="Segoe UI"/>
        <charset val="1"/>
      </font>
      <fill>
        <patternFill>
          <bgColor rgb="FF0070C0"/>
        </patternFill>
      </fill>
    </dxf>
    <dxf>
      <font>
        <b/>
        <sz val="10"/>
        <color rgb="FF9C0006"/>
        <name val="Segoe UI"/>
        <charset val="1"/>
      </font>
      <fill>
        <patternFill>
          <bgColor rgb="FFFFC7CE"/>
        </patternFill>
      </fill>
    </dxf>
    <dxf>
      <font>
        <b/>
        <sz val="10"/>
        <color rgb="FF006100"/>
        <name val="Segoe UI"/>
        <charset val="1"/>
      </font>
      <fill>
        <patternFill>
          <bgColor rgb="FFC6EFCE"/>
        </patternFill>
      </fil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B0000"/>
      <rgbColor rgb="FF006100"/>
      <rgbColor rgb="FF000080"/>
      <rgbColor rgb="FF9C6500"/>
      <rgbColor rgb="FFC00000"/>
      <rgbColor rgb="FF008080"/>
      <rgbColor rgb="FFD9D9D9"/>
      <rgbColor rgb="FF808080"/>
      <rgbColor rgb="FF9999FF"/>
      <rgbColor rgb="FF993366"/>
      <rgbColor rgb="FFFFF6E5"/>
      <rgbColor rgb="FFE2EFDA"/>
      <rgbColor rgb="FF660066"/>
      <rgbColor rgb="FFFF8080"/>
      <rgbColor rgb="FF0070C0"/>
      <rgbColor rgb="FFBDD7EE"/>
      <rgbColor rgb="FF000080"/>
      <rgbColor rgb="FFFF00FF"/>
      <rgbColor rgb="FFFFFF00"/>
      <rgbColor rgb="FF00FFFF"/>
      <rgbColor rgb="FF800080"/>
      <rgbColor rgb="FF9C0006"/>
      <rgbColor rgb="FF008080"/>
      <rgbColor rgb="FF0000FF"/>
      <rgbColor rgb="FF00CCFF"/>
      <rgbColor rgb="FFF2F2F2"/>
      <rgbColor rgb="FFC6EFCE"/>
      <rgbColor rgb="FFFFEB9C"/>
      <rgbColor rgb="FFF8F9FA"/>
      <rgbColor rgb="FFFCE4D6"/>
      <rgbColor rgb="FFCC99FF"/>
      <rgbColor rgb="FFFFC7CE"/>
      <rgbColor rgb="FF3366FF"/>
      <rgbColor rgb="FF33CCCC"/>
      <rgbColor rgb="FF99CC00"/>
      <rgbColor rgb="FFFFC000"/>
      <rgbColor rgb="FFFF9900"/>
      <rgbColor rgb="FFED7D31"/>
      <rgbColor rgb="FF595959"/>
      <rgbColor rgb="FFA6A6A6"/>
      <rgbColor rgb="FF1F3864"/>
      <rgbColor rgb="FF339966"/>
      <rgbColor rgb="FF003300"/>
      <rgbColor rgb="FF375623"/>
      <rgbColor rgb="FFC65911"/>
      <rgbColor rgb="FF993366"/>
      <rgbColor rgb="FF2E4057"/>
      <rgbColor rgb="FF2B2B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topLeftCell="A13" workbookViewId="0">
      <selection activeCell="D17" sqref="D17"/>
    </sheetView>
  </sheetViews>
  <sheetFormatPr defaultColWidth="8.6640625" defaultRowHeight="14.25" x14ac:dyDescent="0.45"/>
  <cols>
    <col min="1" max="1" width="2" customWidth="1"/>
    <col min="2" max="2" width="30" customWidth="1"/>
    <col min="3" max="3" width="14" customWidth="1"/>
    <col min="4" max="4" width="3" customWidth="1"/>
    <col min="5" max="5" width="55" customWidth="1"/>
    <col min="6" max="6" width="2" customWidth="1"/>
  </cols>
  <sheetData>
    <row r="1" spans="1:6" ht="27.75" customHeight="1" x14ac:dyDescent="0.45">
      <c r="A1" s="88" t="s">
        <v>17</v>
      </c>
      <c r="B1" s="86"/>
      <c r="C1" s="86"/>
      <c r="D1" s="86"/>
      <c r="E1" s="86"/>
      <c r="F1" s="86"/>
    </row>
    <row r="2" spans="1:6" ht="15.75" customHeight="1" x14ac:dyDescent="0.45">
      <c r="A2" s="87" t="s">
        <v>18</v>
      </c>
      <c r="B2" s="86"/>
      <c r="C2" s="86"/>
      <c r="D2" s="86"/>
      <c r="E2" s="86"/>
      <c r="F2" s="86"/>
    </row>
    <row r="4" spans="1:6" ht="18" customHeight="1" x14ac:dyDescent="0.45">
      <c r="A4" s="93" t="s">
        <v>19</v>
      </c>
      <c r="B4" s="86"/>
      <c r="C4" s="86"/>
      <c r="D4" s="86"/>
      <c r="E4" s="86"/>
      <c r="F4" s="86"/>
    </row>
    <row r="5" spans="1:6" ht="18" customHeight="1" x14ac:dyDescent="0.45">
      <c r="B5" s="90" t="s">
        <v>20</v>
      </c>
      <c r="C5" s="86"/>
      <c r="D5" s="89" t="s">
        <v>21</v>
      </c>
      <c r="E5" s="86"/>
      <c r="F5" s="86"/>
    </row>
    <row r="6" spans="1:6" ht="18" customHeight="1" x14ac:dyDescent="0.45">
      <c r="B6" s="90" t="s">
        <v>22</v>
      </c>
      <c r="C6" s="86"/>
      <c r="D6" s="89" t="s">
        <v>23</v>
      </c>
      <c r="E6" s="86"/>
      <c r="F6" s="86"/>
    </row>
    <row r="7" spans="1:6" ht="18" customHeight="1" x14ac:dyDescent="0.45">
      <c r="B7" s="90" t="s">
        <v>24</v>
      </c>
      <c r="C7" s="86"/>
      <c r="D7" s="89" t="s">
        <v>25</v>
      </c>
      <c r="E7" s="86"/>
      <c r="F7" s="86"/>
    </row>
    <row r="8" spans="1:6" ht="18" customHeight="1" x14ac:dyDescent="0.45">
      <c r="B8" s="90" t="s">
        <v>26</v>
      </c>
      <c r="C8" s="86"/>
      <c r="D8" s="89">
        <v>12345</v>
      </c>
      <c r="E8" s="86"/>
      <c r="F8" s="86"/>
    </row>
    <row r="9" spans="1:6" ht="18" customHeight="1" x14ac:dyDescent="0.45">
      <c r="B9" s="90" t="s">
        <v>27</v>
      </c>
      <c r="C9" s="86"/>
      <c r="D9" s="89">
        <v>78</v>
      </c>
      <c r="E9" s="86"/>
      <c r="F9" s="86"/>
    </row>
    <row r="10" spans="1:6" ht="18" customHeight="1" x14ac:dyDescent="0.45">
      <c r="B10" s="90" t="s">
        <v>28</v>
      </c>
      <c r="C10" s="86"/>
      <c r="D10" s="89" t="s">
        <v>29</v>
      </c>
      <c r="E10" s="86"/>
      <c r="F10" s="86"/>
    </row>
    <row r="11" spans="1:6" ht="18" customHeight="1" x14ac:dyDescent="0.45">
      <c r="B11" s="90" t="s">
        <v>30</v>
      </c>
      <c r="C11" s="86"/>
      <c r="D11" s="89" t="s">
        <v>31</v>
      </c>
      <c r="E11" s="86"/>
      <c r="F11" s="86"/>
    </row>
    <row r="12" spans="1:6" ht="18" customHeight="1" x14ac:dyDescent="0.45">
      <c r="B12" s="90" t="s">
        <v>32</v>
      </c>
      <c r="C12" s="86"/>
      <c r="D12" s="89" t="s">
        <v>33</v>
      </c>
      <c r="E12" s="86"/>
      <c r="F12" s="86"/>
    </row>
    <row r="13" spans="1:6" ht="18" customHeight="1" x14ac:dyDescent="0.45">
      <c r="B13" s="90" t="s">
        <v>34</v>
      </c>
      <c r="C13" s="86"/>
      <c r="D13" s="89" t="s">
        <v>35</v>
      </c>
      <c r="E13" s="86"/>
      <c r="F13" s="86"/>
    </row>
    <row r="14" spans="1:6" ht="18" customHeight="1" x14ac:dyDescent="0.45">
      <c r="B14" s="90" t="s">
        <v>36</v>
      </c>
      <c r="C14" s="86"/>
      <c r="D14" s="89" t="s">
        <v>37</v>
      </c>
      <c r="E14" s="86"/>
      <c r="F14" s="86"/>
    </row>
    <row r="15" spans="1:6" ht="18" customHeight="1" x14ac:dyDescent="0.45">
      <c r="B15" s="90" t="s">
        <v>38</v>
      </c>
      <c r="C15" s="86"/>
      <c r="D15" s="89" t="s">
        <v>39</v>
      </c>
      <c r="E15" s="86"/>
      <c r="F15" s="86"/>
    </row>
    <row r="16" spans="1:6" ht="18" customHeight="1" x14ac:dyDescent="0.45">
      <c r="B16" s="90" t="s">
        <v>40</v>
      </c>
      <c r="C16" s="86"/>
      <c r="D16" s="89" t="s">
        <v>41</v>
      </c>
      <c r="E16" s="86"/>
      <c r="F16" s="86"/>
    </row>
    <row r="17" spans="1:6" ht="14.25" customHeight="1" x14ac:dyDescent="0.45">
      <c r="B17" s="1" t="s">
        <v>42</v>
      </c>
      <c r="D17" s="2" t="s">
        <v>1860</v>
      </c>
    </row>
    <row r="18" spans="1:6" ht="18" customHeight="1" x14ac:dyDescent="0.45">
      <c r="A18" s="93" t="s">
        <v>44</v>
      </c>
      <c r="B18" s="86"/>
      <c r="C18" s="86"/>
      <c r="D18" s="86"/>
      <c r="E18" s="86"/>
      <c r="F18" s="86"/>
    </row>
    <row r="19" spans="1:6" ht="15.75" customHeight="1" x14ac:dyDescent="0.45">
      <c r="B19" s="90" t="s">
        <v>45</v>
      </c>
      <c r="C19" s="86"/>
      <c r="D19" s="3" t="s">
        <v>46</v>
      </c>
      <c r="E19" s="90" t="s">
        <v>47</v>
      </c>
      <c r="F19" s="86"/>
    </row>
    <row r="20" spans="1:6" ht="21.75" customHeight="1" x14ac:dyDescent="0.45">
      <c r="B20" s="91" t="s">
        <v>48</v>
      </c>
      <c r="C20" s="86"/>
      <c r="D20" s="4" t="s">
        <v>41</v>
      </c>
      <c r="E20" s="92" t="s">
        <v>49</v>
      </c>
      <c r="F20" s="86"/>
    </row>
    <row r="21" spans="1:6" ht="21.75" customHeight="1" x14ac:dyDescent="0.45">
      <c r="B21" s="91" t="s">
        <v>50</v>
      </c>
      <c r="C21" s="86"/>
      <c r="D21" s="4" t="s">
        <v>41</v>
      </c>
      <c r="E21" s="92" t="s">
        <v>51</v>
      </c>
      <c r="F21" s="86"/>
    </row>
    <row r="22" spans="1:6" ht="21.75" customHeight="1" x14ac:dyDescent="0.45">
      <c r="B22" s="91" t="s">
        <v>52</v>
      </c>
      <c r="C22" s="86"/>
      <c r="D22" s="4" t="s">
        <v>41</v>
      </c>
      <c r="E22" s="92" t="s">
        <v>53</v>
      </c>
      <c r="F22" s="86"/>
    </row>
    <row r="23" spans="1:6" ht="21.75" customHeight="1" x14ac:dyDescent="0.45">
      <c r="B23" s="91" t="s">
        <v>54</v>
      </c>
      <c r="C23" s="86"/>
      <c r="D23" s="4" t="s">
        <v>41</v>
      </c>
      <c r="E23" s="92" t="s">
        <v>55</v>
      </c>
      <c r="F23" s="86"/>
    </row>
    <row r="24" spans="1:6" ht="21.75" customHeight="1" x14ac:dyDescent="0.45">
      <c r="B24" s="91" t="s">
        <v>56</v>
      </c>
      <c r="C24" s="86"/>
      <c r="D24" s="4" t="s">
        <v>41</v>
      </c>
      <c r="E24" s="92" t="s">
        <v>57</v>
      </c>
      <c r="F24" s="86"/>
    </row>
    <row r="25" spans="1:6" ht="21.75" customHeight="1" x14ac:dyDescent="0.45">
      <c r="B25" s="91" t="s">
        <v>58</v>
      </c>
      <c r="C25" s="86"/>
      <c r="D25" s="4" t="s">
        <v>41</v>
      </c>
      <c r="E25" s="92" t="s">
        <v>59</v>
      </c>
      <c r="F25" s="86"/>
    </row>
    <row r="26" spans="1:6" ht="21.75" customHeight="1" x14ac:dyDescent="0.45">
      <c r="B26" s="91" t="s">
        <v>60</v>
      </c>
      <c r="C26" s="86"/>
      <c r="D26" s="4" t="s">
        <v>61</v>
      </c>
      <c r="E26" s="92" t="s">
        <v>62</v>
      </c>
      <c r="F26" s="86"/>
    </row>
    <row r="27" spans="1:6" ht="21.75" customHeight="1" x14ac:dyDescent="0.45">
      <c r="B27" s="91" t="s">
        <v>63</v>
      </c>
      <c r="C27" s="86"/>
      <c r="D27" s="4" t="s">
        <v>41</v>
      </c>
      <c r="E27" s="92" t="s">
        <v>64</v>
      </c>
      <c r="F27" s="86"/>
    </row>
    <row r="28" spans="1:6" ht="21.75" customHeight="1" x14ac:dyDescent="0.45">
      <c r="B28" s="91" t="s">
        <v>65</v>
      </c>
      <c r="C28" s="86"/>
      <c r="D28" s="4" t="s">
        <v>61</v>
      </c>
      <c r="E28" s="92" t="s">
        <v>66</v>
      </c>
      <c r="F28" s="86"/>
    </row>
    <row r="29" spans="1:6" ht="21.75" customHeight="1" x14ac:dyDescent="0.45">
      <c r="B29" s="91" t="s">
        <v>67</v>
      </c>
      <c r="C29" s="86"/>
      <c r="D29" s="4" t="s">
        <v>61</v>
      </c>
      <c r="E29" s="92" t="s">
        <v>68</v>
      </c>
      <c r="F29" s="86"/>
    </row>
    <row r="30" spans="1:6" ht="21.75" customHeight="1" x14ac:dyDescent="0.45">
      <c r="B30" s="91" t="s">
        <v>69</v>
      </c>
      <c r="C30" s="86"/>
      <c r="D30" s="4" t="s">
        <v>61</v>
      </c>
      <c r="E30" s="92" t="s">
        <v>70</v>
      </c>
      <c r="F30" s="86"/>
    </row>
    <row r="31" spans="1:6" ht="21.75" customHeight="1" x14ac:dyDescent="0.45">
      <c r="B31" s="91" t="s">
        <v>71</v>
      </c>
      <c r="C31" s="86"/>
      <c r="D31" s="4" t="s">
        <v>41</v>
      </c>
      <c r="E31" s="92" t="s">
        <v>72</v>
      </c>
      <c r="F31" s="86"/>
    </row>
    <row r="32" spans="1:6" ht="21.75" customHeight="1" x14ac:dyDescent="0.45">
      <c r="B32" s="91" t="s">
        <v>73</v>
      </c>
      <c r="C32" s="86"/>
      <c r="D32" s="4" t="s">
        <v>41</v>
      </c>
      <c r="E32" s="92" t="s">
        <v>74</v>
      </c>
      <c r="F32" s="86"/>
    </row>
    <row r="33" spans="1:6" ht="21.75" customHeight="1" x14ac:dyDescent="0.45">
      <c r="B33" s="91" t="s">
        <v>75</v>
      </c>
      <c r="C33" s="86"/>
      <c r="D33" s="4" t="s">
        <v>41</v>
      </c>
      <c r="E33" s="92" t="s">
        <v>76</v>
      </c>
      <c r="F33" s="86"/>
    </row>
    <row r="34" spans="1:6" ht="21.75" customHeight="1" x14ac:dyDescent="0.45">
      <c r="B34" s="91" t="s">
        <v>77</v>
      </c>
      <c r="C34" s="86"/>
      <c r="D34" s="4" t="s">
        <v>41</v>
      </c>
      <c r="E34" s="92" t="s">
        <v>78</v>
      </c>
      <c r="F34" s="86"/>
    </row>
    <row r="36" spans="1:6" ht="18" customHeight="1" x14ac:dyDescent="0.45">
      <c r="A36" s="93" t="s">
        <v>79</v>
      </c>
      <c r="B36" s="86"/>
      <c r="C36" s="86"/>
      <c r="D36" s="86"/>
      <c r="E36" s="86"/>
      <c r="F36" s="86"/>
    </row>
    <row r="37" spans="1:6" ht="54.75" customHeight="1" x14ac:dyDescent="0.45">
      <c r="B37" s="95" t="s">
        <v>80</v>
      </c>
      <c r="C37" s="86"/>
      <c r="D37" s="86"/>
      <c r="E37" s="86"/>
      <c r="F37" s="86"/>
    </row>
    <row r="38" spans="1:6" ht="21.75" customHeight="1" x14ac:dyDescent="0.45">
      <c r="B38" s="90" t="s">
        <v>81</v>
      </c>
      <c r="C38" s="86"/>
      <c r="D38" s="94"/>
      <c r="E38" s="86"/>
      <c r="F38" s="86"/>
    </row>
  </sheetData>
  <mergeCells count="64">
    <mergeCell ref="B5:C5"/>
    <mergeCell ref="B20:C20"/>
    <mergeCell ref="A1:F1"/>
    <mergeCell ref="B32:C32"/>
    <mergeCell ref="E22:F22"/>
    <mergeCell ref="B26:C26"/>
    <mergeCell ref="D6:F6"/>
    <mergeCell ref="E21:F21"/>
    <mergeCell ref="B6:C6"/>
    <mergeCell ref="B30:C30"/>
    <mergeCell ref="B24:C24"/>
    <mergeCell ref="B15:C15"/>
    <mergeCell ref="B33:C33"/>
    <mergeCell ref="E34:F34"/>
    <mergeCell ref="B13:C13"/>
    <mergeCell ref="D38:F38"/>
    <mergeCell ref="B38:C38"/>
    <mergeCell ref="D14:F14"/>
    <mergeCell ref="E30:F30"/>
    <mergeCell ref="B29:C29"/>
    <mergeCell ref="B19:C19"/>
    <mergeCell ref="B34:C34"/>
    <mergeCell ref="B28:C28"/>
    <mergeCell ref="B37:F37"/>
    <mergeCell ref="E27:F27"/>
    <mergeCell ref="E26:F26"/>
    <mergeCell ref="A36:F36"/>
    <mergeCell ref="E32:F32"/>
    <mergeCell ref="E25:F25"/>
    <mergeCell ref="A2:F2"/>
    <mergeCell ref="B21:C21"/>
    <mergeCell ref="E20:F20"/>
    <mergeCell ref="E29:F29"/>
    <mergeCell ref="B11:C11"/>
    <mergeCell ref="E19:F19"/>
    <mergeCell ref="B23:C23"/>
    <mergeCell ref="E28:F28"/>
    <mergeCell ref="D12:F12"/>
    <mergeCell ref="B14:C14"/>
    <mergeCell ref="D9:F9"/>
    <mergeCell ref="A4:F4"/>
    <mergeCell ref="D8:F8"/>
    <mergeCell ref="B8:C8"/>
    <mergeCell ref="D15:F15"/>
    <mergeCell ref="D5:F5"/>
    <mergeCell ref="E33:F33"/>
    <mergeCell ref="B22:C22"/>
    <mergeCell ref="E23:F23"/>
    <mergeCell ref="A18:F18"/>
    <mergeCell ref="B31:C31"/>
    <mergeCell ref="B27:C27"/>
    <mergeCell ref="E31:F31"/>
    <mergeCell ref="D13:F13"/>
    <mergeCell ref="B16:C16"/>
    <mergeCell ref="D11:F11"/>
    <mergeCell ref="B7:C7"/>
    <mergeCell ref="B25:C25"/>
    <mergeCell ref="E24:F24"/>
    <mergeCell ref="D7:F7"/>
    <mergeCell ref="D16:F16"/>
    <mergeCell ref="B12:C12"/>
    <mergeCell ref="B10:C10"/>
    <mergeCell ref="B9:C9"/>
    <mergeCell ref="D10:F10"/>
  </mergeCells>
  <conditionalFormatting sqref="D20:D34">
    <cfRule type="cellIs" dxfId="254" priority="2" operator="equal">
      <formula>"Yes"</formula>
    </cfRule>
    <cfRule type="cellIs" dxfId="253" priority="3" operator="equal">
      <formula>"No"</formula>
    </cfRule>
  </conditionalFormatting>
  <dataValidations count="2">
    <dataValidation type="list" sqref="D20:D34" xr:uid="{00000000-0002-0000-0000-000000000000}">
      <formula1>"Yes,No"</formula1>
      <formula2>0</formula2>
    </dataValidation>
    <dataValidation type="list" allowBlank="1" sqref="D17" xr:uid="{00000000-0002-0000-0000-000001000000}">
      <formula1>"Federal OSHA Only (No State Plan),Alaska (AK OSHA),Arizona (AZ OSHA),California (Cal/OSHA),Hawaii (HI OSHA),Indiana (IN IOSHA),Iowa (Iowa OSHA),Kentucky (KY OSH),Maryland (MOSH),Michigan (MIOSHA),Minnesota (MN OSHA),Nevada (NV OSHA),New Mexico (NM OSHA),N"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4"/>
  <sheetViews>
    <sheetView tabSelected="1" workbookViewId="0">
      <selection activeCell="M27" sqref="M27:R27"/>
    </sheetView>
  </sheetViews>
  <sheetFormatPr defaultColWidth="8.6640625" defaultRowHeight="14.25" x14ac:dyDescent="0.45"/>
  <cols>
    <col min="1" max="1" width="2" customWidth="1"/>
    <col min="2" max="2" width="14" customWidth="1"/>
    <col min="3" max="3" width="2" customWidth="1"/>
    <col min="4" max="4" width="14" customWidth="1"/>
    <col min="5" max="5" width="2" customWidth="1"/>
    <col min="6" max="6" width="14" customWidth="1"/>
    <col min="7" max="7" width="2" customWidth="1"/>
    <col min="8" max="8" width="14" customWidth="1"/>
    <col min="9" max="9" width="2" customWidth="1"/>
    <col min="10" max="10" width="14" customWidth="1"/>
    <col min="11" max="11" width="2" customWidth="1"/>
    <col min="12" max="12" width="14" customWidth="1"/>
    <col min="13" max="13" width="2" customWidth="1"/>
    <col min="14" max="14" width="14" customWidth="1"/>
    <col min="15" max="15" width="2" customWidth="1"/>
    <col min="16" max="16" width="14" customWidth="1"/>
    <col min="17" max="17" width="2" customWidth="1"/>
    <col min="18" max="18" width="14" customWidth="1"/>
    <col min="20" max="20" width="13" hidden="1" customWidth="1"/>
  </cols>
  <sheetData>
    <row r="1" spans="1:20" ht="31.5" customHeight="1" x14ac:dyDescent="0.45">
      <c r="A1" s="112" t="s">
        <v>82</v>
      </c>
      <c r="B1" s="86"/>
      <c r="C1" s="86"/>
      <c r="D1" s="86"/>
      <c r="E1" s="86"/>
      <c r="F1" s="86"/>
      <c r="G1" s="86"/>
      <c r="H1" s="86"/>
      <c r="I1" s="86"/>
      <c r="J1" s="86"/>
      <c r="K1" s="86"/>
      <c r="L1" s="86"/>
      <c r="M1" s="86"/>
      <c r="N1" s="86"/>
      <c r="O1" s="86"/>
      <c r="P1" s="86"/>
      <c r="Q1" s="86"/>
      <c r="R1" s="97"/>
    </row>
    <row r="2" spans="1:20" ht="15.75" customHeight="1" x14ac:dyDescent="0.45">
      <c r="A2" s="103" t="s">
        <v>83</v>
      </c>
      <c r="B2" s="86"/>
      <c r="C2" s="86"/>
      <c r="D2" s="86"/>
      <c r="E2" s="86"/>
      <c r="F2" s="86"/>
      <c r="G2" s="86"/>
      <c r="H2" s="86"/>
      <c r="I2" s="86"/>
      <c r="J2" s="86"/>
      <c r="K2" s="86"/>
      <c r="L2" s="86"/>
      <c r="M2" s="86"/>
      <c r="N2" s="86"/>
      <c r="O2" s="86"/>
      <c r="P2" s="86"/>
      <c r="Q2" s="86"/>
      <c r="R2" s="97"/>
    </row>
    <row r="3" spans="1:20" ht="19.5" customHeight="1" x14ac:dyDescent="0.45">
      <c r="A3" s="101" t="s">
        <v>84</v>
      </c>
      <c r="B3" s="97"/>
      <c r="C3" s="109"/>
      <c r="D3" s="86"/>
      <c r="E3" s="86"/>
      <c r="F3" s="97"/>
      <c r="G3" s="101" t="s">
        <v>85</v>
      </c>
      <c r="H3" s="97"/>
      <c r="I3" s="109"/>
      <c r="J3" s="86"/>
      <c r="K3" s="97"/>
      <c r="L3" s="101" t="s">
        <v>86</v>
      </c>
      <c r="M3" s="97"/>
      <c r="N3" s="109"/>
      <c r="O3" s="86"/>
      <c r="P3" s="86"/>
      <c r="Q3" s="86"/>
      <c r="R3" s="97"/>
    </row>
    <row r="4" spans="1:20" ht="7.5" customHeight="1" x14ac:dyDescent="0.45"/>
    <row r="5" spans="1:20" ht="18" customHeight="1" x14ac:dyDescent="0.45">
      <c r="A5" s="104" t="s">
        <v>87</v>
      </c>
      <c r="B5" s="86"/>
      <c r="C5" s="86"/>
      <c r="D5" s="86"/>
      <c r="E5" s="86"/>
      <c r="F5" s="97"/>
      <c r="H5" s="104" t="s">
        <v>88</v>
      </c>
      <c r="I5" s="86"/>
      <c r="J5" s="86"/>
      <c r="K5" s="86"/>
      <c r="L5" s="86"/>
      <c r="M5" s="86"/>
      <c r="N5" s="86"/>
      <c r="O5" s="86"/>
      <c r="P5" s="86"/>
      <c r="Q5" s="86"/>
      <c r="R5" s="97"/>
    </row>
    <row r="6" spans="1:20" ht="19.5" customHeight="1" x14ac:dyDescent="0.45">
      <c r="A6" s="110" t="s">
        <v>89</v>
      </c>
      <c r="B6" s="86"/>
      <c r="C6" s="86"/>
      <c r="D6" s="86"/>
      <c r="E6" s="86"/>
      <c r="F6" s="97"/>
      <c r="H6" s="5" t="s">
        <v>90</v>
      </c>
      <c r="J6" s="5" t="s">
        <v>91</v>
      </c>
      <c r="L6" s="5" t="s">
        <v>92</v>
      </c>
      <c r="T6">
        <f ca="1">'Confined Space'!B8+PPE!B8+'Walking &amp; Working Surfaces'!B8+Recordkeeping!B8+LOTO!B8+'Egress &amp; Emergency Action'!B8+'Fire Protection &amp; Alarms'!B8+'Machine Guarding'!B8+'Electrical Safety'!B8+'Hand &amp; Power Tools'!B8+'Hazard Communication'!B8+'Forklifts &amp; Materials'!B8+'Cranes, Hoists &amp; Rigging'!B8+'Hazardous Materials'!B8+'Occ. Health &amp; Noise'!B8+'Medical &amp; First Aid'!B8+'Welding &amp; Hot Work'!B8+'BBP &amp; Sanitation'!B8+'State Requirements'!B8</f>
        <v>98.6</v>
      </c>
    </row>
    <row r="7" spans="1:20" ht="45" x14ac:dyDescent="0.45">
      <c r="A7" s="106">
        <f ca="1">T8</f>
        <v>4.646559849198869E-2</v>
      </c>
      <c r="B7" s="86"/>
      <c r="C7" s="86"/>
      <c r="D7" s="86"/>
      <c r="E7" s="86"/>
      <c r="F7" s="97"/>
      <c r="H7" s="6" t="s">
        <v>93</v>
      </c>
      <c r="J7" s="7">
        <f>COUNTIF('Confined Space'!E18:E48,"Best Practice")+COUNTIF(PPE!E18:E51,"Best Practice")+COUNTIF('Walking &amp; Working Surfaces'!E18:E48,"Best Practice")+COUNTIF(Recordkeeping!E18:E59,"Best Practice")+COUNTIF(LOTO!E18:E36,"Best Practice")+COUNTIF('Egress &amp; Emergency Action'!E18:E40,"Best Practice")+COUNTIF('Fire Protection &amp; Alarms'!E18:E40,"Best Practice")+COUNTIF('Machine Guarding'!E18:E32,"Best Practice")+COUNTIF('Electrical Safety'!E18:E38,"Best Practice")+COUNTIF('Hand &amp; Power Tools'!E18:E36,"Best Practice")+COUNTIF('Hazard Communication'!E18:E32,"Best Practice")+COUNTIF('Forklifts &amp; Materials'!E18:E33,"Best Practice")+COUNTIF('Cranes, Hoists &amp; Rigging'!E18:E31,"Best Practice")+COUNTIF('Hazardous Materials'!E18:E31,"Best Practice")+COUNTIF('Occ. Health &amp; Noise'!E18:E29,"Best Practice")+COUNTIF('Medical &amp; First Aid'!E18:E27,"Best Practice")+COUNTIF('Welding &amp; Hot Work'!E18:E30,"Best Practice")+COUNTIF('BBP &amp; Sanitation'!E18:E35,"Best Practice")+COUNTIF('State Requirements'!E19:E118,"Best Practice")</f>
        <v>3</v>
      </c>
      <c r="L7" s="8">
        <f ca="1">IFERROR(J7/(('Confined Space'!C8-COUNTIF('Confined Space'!E18:E48,"Not Applicable"))+(PPE!C8-COUNTIF(PPE!E18:E51,"Not Applicable"))+('Walking &amp; Working Surfaces'!C8-COUNTIF('Walking &amp; Working Surfaces'!E18:E48,"Not Applicable"))+(Recordkeeping!C8-COUNTIF(Recordkeeping!E18:E59,"Not Applicable"))+(LOTO!C8-COUNTIF(LOTO!E18:E36,"Not Applicable"))+('Egress &amp; Emergency Action'!C8-COUNTIF('Egress &amp; Emergency Action'!E18:E40,"Not Applicable"))+('Fire Protection &amp; Alarms'!C8-COUNTIF('Fire Protection &amp; Alarms'!E18:E40,"Not Applicable"))+('Machine Guarding'!C8-COUNTIF('Machine Guarding'!E18:E32,"Not Applicable"))+('Electrical Safety'!C8-COUNTIF('Electrical Safety'!E18:E38,"Not Applicable"))+('Hand &amp; Power Tools'!C8-COUNTIF('Hand &amp; Power Tools'!E18:E36,"Not Applicable"))+('Hazard Communication'!C8-COUNTIF('Hazard Communication'!E18:E32,"Not Applicable"))+('Forklifts &amp; Materials'!C8-COUNTIF('Forklifts &amp; Materials'!E18:E33,"Not Applicable"))+('Cranes, Hoists &amp; Rigging'!C8-COUNTIF('Cranes, Hoists &amp; Rigging'!E18:E31,"Not Applicable"))+('Hazardous Materials'!C8-COUNTIF('Hazardous Materials'!E18:E31,"Not Applicable"))+('Occ. Health &amp; Noise'!C8-COUNTIF('Occ. Health &amp; Noise'!E18:E29,"Not Applicable"))+('Medical &amp; First Aid'!C8-COUNTIF('Medical &amp; First Aid'!E18:E27,"Not Applicable"))+('Welding &amp; Hot Work'!C8-COUNTIF('Welding &amp; Hot Work'!E18:E30,"Not Applicable"))+('BBP &amp; Sanitation'!C8-COUNTIF('BBP &amp; Sanitation'!E18:E35,"Not Applicable"))+('State Requirements'!C8-COUNTIF('State Requirements'!E19:E118,"Not Applicable"))),"")</f>
        <v>1.4164305949008499E-3</v>
      </c>
      <c r="T7">
        <f ca="1">'Confined Space'!C8+PPE!C8+'Walking &amp; Working Surfaces'!C8+Recordkeeping!C8+LOTO!C8+'Egress &amp; Emergency Action'!C8+'Fire Protection &amp; Alarms'!C8+'Machine Guarding'!C8+'Electrical Safety'!C8+'Hand &amp; Power Tools'!C8+'Hazard Communication'!C8+'Forklifts &amp; Materials'!C8+'Cranes, Hoists &amp; Rigging'!C8+'Hazardous Materials'!C8+'Occ. Health &amp; Noise'!C8+'Medical &amp; First Aid'!C8+'Welding &amp; Hot Work'!C8+'BBP &amp; Sanitation'!C8+'State Requirements'!C8</f>
        <v>2122</v>
      </c>
    </row>
    <row r="8" spans="1:20" ht="15.75" customHeight="1" x14ac:dyDescent="0.45">
      <c r="A8" s="100" t="str">
        <f ca="1">T6&amp;" / "&amp;T7</f>
        <v>98.6 / 2122</v>
      </c>
      <c r="B8" s="86"/>
      <c r="C8" s="86"/>
      <c r="D8" s="86"/>
      <c r="E8" s="86"/>
      <c r="F8" s="97"/>
      <c r="H8" s="9" t="s">
        <v>94</v>
      </c>
      <c r="J8" s="10">
        <f>COUNTIF('Confined Space'!E18:E48,"Verified")+COUNTIF(PPE!E18:E51,"Verified")+COUNTIF('Walking &amp; Working Surfaces'!E18:E48,"Verified")+COUNTIF(Recordkeeping!E18:E59,"Verified")+COUNTIF(LOTO!E18:E36,"Verified")+COUNTIF('Egress &amp; Emergency Action'!E18:E40,"Verified")+COUNTIF('Fire Protection &amp; Alarms'!E18:E40,"Verified")+COUNTIF('Machine Guarding'!E18:E32,"Verified")+COUNTIF('Electrical Safety'!E18:E38,"Verified")+COUNTIF('Hand &amp; Power Tools'!E18:E36,"Verified")+COUNTIF('Hazard Communication'!E18:E32,"Verified")+COUNTIF('Forklifts &amp; Materials'!E18:E33,"Verified")+COUNTIF('Cranes, Hoists &amp; Rigging'!E18:E31,"Verified")+COUNTIF('Hazardous Materials'!E18:E31,"Verified")+COUNTIF('Occ. Health &amp; Noise'!E18:E29,"Verified")+COUNTIF('Medical &amp; First Aid'!E18:E27,"Verified")+COUNTIF('Welding &amp; Hot Work'!E18:E30,"Verified")+COUNTIF('BBP &amp; Sanitation'!E18:E35,"Verified")+COUNTIF('State Requirements'!E19:E118,"Verified")</f>
        <v>3</v>
      </c>
      <c r="L8" s="11">
        <f ca="1">IFERROR(J8/(('Confined Space'!C8-COUNTIF('Confined Space'!E18:E48,"Not Applicable"))+(PPE!C8-COUNTIF(PPE!E18:E51,"Not Applicable"))+('Walking &amp; Working Surfaces'!C8-COUNTIF('Walking &amp; Working Surfaces'!E18:E48,"Not Applicable"))+(Recordkeeping!C8-COUNTIF(Recordkeeping!E18:E59,"Not Applicable"))+(LOTO!C8-COUNTIF(LOTO!E18:E36,"Not Applicable"))+('Egress &amp; Emergency Action'!C8-COUNTIF('Egress &amp; Emergency Action'!E18:E40,"Not Applicable"))+('Fire Protection &amp; Alarms'!C8-COUNTIF('Fire Protection &amp; Alarms'!E18:E40,"Not Applicable"))+('Machine Guarding'!C8-COUNTIF('Machine Guarding'!E18:E32,"Not Applicable"))+('Electrical Safety'!C8-COUNTIF('Electrical Safety'!E18:E38,"Not Applicable"))+('Hand &amp; Power Tools'!C8-COUNTIF('Hand &amp; Power Tools'!E18:E36,"Not Applicable"))+('Hazard Communication'!C8-COUNTIF('Hazard Communication'!E18:E32,"Not Applicable"))+('Forklifts &amp; Materials'!C8-COUNTIF('Forklifts &amp; Materials'!E18:E33,"Not Applicable"))+('Cranes, Hoists &amp; Rigging'!C8-COUNTIF('Cranes, Hoists &amp; Rigging'!E18:E31,"Not Applicable"))+('Hazardous Materials'!C8-COUNTIF('Hazardous Materials'!E18:E31,"Not Applicable"))+('Occ. Health &amp; Noise'!C8-COUNTIF('Occ. Health &amp; Noise'!E18:E29,"Not Applicable"))+('Medical &amp; First Aid'!C8-COUNTIF('Medical &amp; First Aid'!E18:E27,"Not Applicable"))+('Welding &amp; Hot Work'!C8-COUNTIF('Welding &amp; Hot Work'!E18:E30,"Not Applicable"))+('BBP &amp; Sanitation'!C8-COUNTIF('BBP &amp; Sanitation'!E18:E35,"Not Applicable"))+('State Requirements'!C8-COUNTIF('State Requirements'!E19:E118,"Not Applicable"))),"")</f>
        <v>1.4164305949008499E-3</v>
      </c>
      <c r="T8">
        <f ca="1">IF(T7&gt;0,T6/T7,"N/A")</f>
        <v>4.646559849198869E-2</v>
      </c>
    </row>
    <row r="9" spans="1:20" ht="15.75" customHeight="1" x14ac:dyDescent="0.45">
      <c r="A9" s="110" t="s">
        <v>95</v>
      </c>
      <c r="B9" s="86"/>
      <c r="C9" s="86"/>
      <c r="D9" s="86"/>
      <c r="E9" s="86"/>
      <c r="F9" s="97"/>
      <c r="H9" s="12" t="s">
        <v>96</v>
      </c>
      <c r="J9" s="13">
        <f>COUNTIF('Confined Space'!E18:E48,"Low")+COUNTIF(PPE!E18:E51,"Low")+COUNTIF('Walking &amp; Working Surfaces'!E18:E48,"Low")+COUNTIF(Recordkeeping!E18:E59,"Low")+COUNTIF(LOTO!E18:E36,"Low")+COUNTIF('Egress &amp; Emergency Action'!E18:E40,"Low")+COUNTIF('Fire Protection &amp; Alarms'!E18:E40,"Low")+COUNTIF('Machine Guarding'!E18:E32,"Low")+COUNTIF('Electrical Safety'!E18:E38,"Low")+COUNTIF('Hand &amp; Power Tools'!E18:E36,"Low")+COUNTIF('Hazard Communication'!E18:E32,"Low")+COUNTIF('Forklifts &amp; Materials'!E18:E33,"Low")+COUNTIF('Cranes, Hoists &amp; Rigging'!E18:E31,"Low")+COUNTIF('Hazardous Materials'!E18:E31,"Low")+COUNTIF('Occ. Health &amp; Noise'!E18:E29,"Low")+COUNTIF('Medical &amp; First Aid'!E18:E27,"Low")+COUNTIF('Welding &amp; Hot Work'!E18:E30,"Low")+COUNTIF('BBP &amp; Sanitation'!E18:E35,"Low")+COUNTIF('State Requirements'!E19:E118,"Low")</f>
        <v>4</v>
      </c>
      <c r="L9" s="14">
        <f ca="1">IFERROR(J9/(('Confined Space'!C8-COUNTIF('Confined Space'!E18:E48,"Not Applicable"))+(PPE!C8-COUNTIF(PPE!E18:E51,"Not Applicable"))+('Walking &amp; Working Surfaces'!C8-COUNTIF('Walking &amp; Working Surfaces'!E18:E48,"Not Applicable"))+(Recordkeeping!C8-COUNTIF(Recordkeeping!E18:E59,"Not Applicable"))+(LOTO!C8-COUNTIF(LOTO!E18:E36,"Not Applicable"))+('Egress &amp; Emergency Action'!C8-COUNTIF('Egress &amp; Emergency Action'!E18:E40,"Not Applicable"))+('Fire Protection &amp; Alarms'!C8-COUNTIF('Fire Protection &amp; Alarms'!E18:E40,"Not Applicable"))+('Machine Guarding'!C8-COUNTIF('Machine Guarding'!E18:E32,"Not Applicable"))+('Electrical Safety'!C8-COUNTIF('Electrical Safety'!E18:E38,"Not Applicable"))+('Hand &amp; Power Tools'!C8-COUNTIF('Hand &amp; Power Tools'!E18:E36,"Not Applicable"))+('Hazard Communication'!C8-COUNTIF('Hazard Communication'!E18:E32,"Not Applicable"))+('Forklifts &amp; Materials'!C8-COUNTIF('Forklifts &amp; Materials'!E18:E33,"Not Applicable"))+('Cranes, Hoists &amp; Rigging'!C8-COUNTIF('Cranes, Hoists &amp; Rigging'!E18:E31,"Not Applicable"))+('Hazardous Materials'!C8-COUNTIF('Hazardous Materials'!E18:E31,"Not Applicable"))+('Occ. Health &amp; Noise'!C8-COUNTIF('Occ. Health &amp; Noise'!E18:E29,"Not Applicable"))+('Medical &amp; First Aid'!C8-COUNTIF('Medical &amp; First Aid'!E18:E27,"Not Applicable"))+('Welding &amp; Hot Work'!C8-COUNTIF('Welding &amp; Hot Work'!E18:E30,"Not Applicable"))+('BBP &amp; Sanitation'!C8-COUNTIF('BBP &amp; Sanitation'!E18:E35,"Not Applicable"))+('State Requirements'!C8-COUNTIF('State Requirements'!E19:E118,"Not Applicable"))),"")</f>
        <v>1.8885741265344666E-3</v>
      </c>
    </row>
    <row r="10" spans="1:20" ht="15.75" customHeight="1" x14ac:dyDescent="0.45">
      <c r="A10" s="114" t="str">
        <f ca="1">IF(T8="N/A","N/A",IF(T8&gt;=0.99,"Excellence Leader",IF(T8&gt;=0.9,"Gold",IF(T8&gt;=0.8,"Silver",IF(T8&gt;=0.51,"Bronze","Developing")))))</f>
        <v>Developing</v>
      </c>
      <c r="B10" s="86"/>
      <c r="C10" s="86"/>
      <c r="D10" s="86"/>
      <c r="E10" s="86"/>
      <c r="F10" s="97"/>
      <c r="H10" s="16" t="s">
        <v>97</v>
      </c>
      <c r="J10" s="17">
        <f>COUNTIF('Confined Space'!E18:E48,"Moderate")+COUNTIF(PPE!E18:E51,"Moderate")+COUNTIF('Walking &amp; Working Surfaces'!E18:E48,"Moderate")+COUNTIF(Recordkeeping!E18:E59,"Moderate")+COUNTIF(LOTO!E18:E36,"Moderate")+COUNTIF('Egress &amp; Emergency Action'!E18:E40,"Moderate")+COUNTIF('Fire Protection &amp; Alarms'!E18:E40,"Moderate")+COUNTIF('Machine Guarding'!E18:E32,"Moderate")+COUNTIF('Electrical Safety'!E18:E38,"Moderate")+COUNTIF('Hand &amp; Power Tools'!E18:E36,"Moderate")+COUNTIF('Hazard Communication'!E18:E32,"Moderate")+COUNTIF('Forklifts &amp; Materials'!E18:E33,"Moderate")+COUNTIF('Cranes, Hoists &amp; Rigging'!E18:E31,"Moderate")+COUNTIF('Hazardous Materials'!E18:E31,"Moderate")+COUNTIF('Occ. Health &amp; Noise'!E18:E29,"Moderate")+COUNTIF('Medical &amp; First Aid'!E18:E27,"Moderate")+COUNTIF('Welding &amp; Hot Work'!E18:E30,"Moderate")+COUNTIF('BBP &amp; Sanitation'!E18:E35,"Moderate")+COUNTIF('State Requirements'!E19:E118,"Moderate")</f>
        <v>3</v>
      </c>
      <c r="L10" s="18">
        <f ca="1">IFERROR(J10/(('Confined Space'!C8-COUNTIF('Confined Space'!E18:E48,"Not Applicable"))+(PPE!C8-COUNTIF(PPE!E18:E51,"Not Applicable"))+('Walking &amp; Working Surfaces'!C8-COUNTIF('Walking &amp; Working Surfaces'!E18:E48,"Not Applicable"))+(Recordkeeping!C8-COUNTIF(Recordkeeping!E18:E59,"Not Applicable"))+(LOTO!C8-COUNTIF(LOTO!E18:E36,"Not Applicable"))+('Egress &amp; Emergency Action'!C8-COUNTIF('Egress &amp; Emergency Action'!E18:E40,"Not Applicable"))+('Fire Protection &amp; Alarms'!C8-COUNTIF('Fire Protection &amp; Alarms'!E18:E40,"Not Applicable"))+('Machine Guarding'!C8-COUNTIF('Machine Guarding'!E18:E32,"Not Applicable"))+('Electrical Safety'!C8-COUNTIF('Electrical Safety'!E18:E38,"Not Applicable"))+('Hand &amp; Power Tools'!C8-COUNTIF('Hand &amp; Power Tools'!E18:E36,"Not Applicable"))+('Hazard Communication'!C8-COUNTIF('Hazard Communication'!E18:E32,"Not Applicable"))+('Forklifts &amp; Materials'!C8-COUNTIF('Forklifts &amp; Materials'!E18:E33,"Not Applicable"))+('Cranes, Hoists &amp; Rigging'!C8-COUNTIF('Cranes, Hoists &amp; Rigging'!E18:E31,"Not Applicable"))+('Hazardous Materials'!C8-COUNTIF('Hazardous Materials'!E18:E31,"Not Applicable"))+('Occ. Health &amp; Noise'!C8-COUNTIF('Occ. Health &amp; Noise'!E18:E29,"Not Applicable"))+('Medical &amp; First Aid'!C8-COUNTIF('Medical &amp; First Aid'!E18:E27,"Not Applicable"))+('Welding &amp; Hot Work'!C8-COUNTIF('Welding &amp; Hot Work'!E18:E30,"Not Applicable"))+('BBP &amp; Sanitation'!C8-COUNTIF('BBP &amp; Sanitation'!E18:E35,"Not Applicable"))+('State Requirements'!C8-COUNTIF('State Requirements'!E19:E118,"Not Applicable"))),"")</f>
        <v>1.4164305949008499E-3</v>
      </c>
    </row>
    <row r="11" spans="1:20" ht="15.75" customHeight="1" x14ac:dyDescent="0.45">
      <c r="H11" s="19" t="s">
        <v>98</v>
      </c>
      <c r="J11" s="20">
        <f>COUNTIF('Confined Space'!E18:E48,"High")+COUNTIF(PPE!E18:E51,"High")+COUNTIF('Walking &amp; Working Surfaces'!E18:E48,"High")+COUNTIF(Recordkeeping!E18:E59,"High")+COUNTIF(LOTO!E18:E36,"High")+COUNTIF('Egress &amp; Emergency Action'!E18:E40,"High")+COUNTIF('Fire Protection &amp; Alarms'!E18:E40,"High")+COUNTIF('Machine Guarding'!E18:E32,"High")+COUNTIF('Electrical Safety'!E18:E38,"High")+COUNTIF('Hand &amp; Power Tools'!E18:E36,"High")+COUNTIF('Hazard Communication'!E18:E32,"High")+COUNTIF('Forklifts &amp; Materials'!E18:E33,"High")+COUNTIF('Cranes, Hoists &amp; Rigging'!E18:E31,"High")+COUNTIF('Hazardous Materials'!E18:E31,"High")+COUNTIF('Occ. Health &amp; Noise'!E18:E29,"High")+COUNTIF('Medical &amp; First Aid'!E18:E27,"High")+COUNTIF('Welding &amp; Hot Work'!E18:E30,"High")+COUNTIF('BBP &amp; Sanitation'!E18:E35,"High")+COUNTIF('State Requirements'!E19:E118,"High")</f>
        <v>3</v>
      </c>
      <c r="L11" s="21">
        <f ca="1">IFERROR(J11/(('Confined Space'!C8-COUNTIF('Confined Space'!E18:E48,"Not Applicable"))+(PPE!C8-COUNTIF(PPE!E18:E51,"Not Applicable"))+('Walking &amp; Working Surfaces'!C8-COUNTIF('Walking &amp; Working Surfaces'!E18:E48,"Not Applicable"))+(Recordkeeping!C8-COUNTIF(Recordkeeping!E18:E59,"Not Applicable"))+(LOTO!C8-COUNTIF(LOTO!E18:E36,"Not Applicable"))+('Egress &amp; Emergency Action'!C8-COUNTIF('Egress &amp; Emergency Action'!E18:E40,"Not Applicable"))+('Fire Protection &amp; Alarms'!C8-COUNTIF('Fire Protection &amp; Alarms'!E18:E40,"Not Applicable"))+('Machine Guarding'!C8-COUNTIF('Machine Guarding'!E18:E32,"Not Applicable"))+('Electrical Safety'!C8-COUNTIF('Electrical Safety'!E18:E38,"Not Applicable"))+('Hand &amp; Power Tools'!C8-COUNTIF('Hand &amp; Power Tools'!E18:E36,"Not Applicable"))+('Hazard Communication'!C8-COUNTIF('Hazard Communication'!E18:E32,"Not Applicable"))+('Forklifts &amp; Materials'!C8-COUNTIF('Forklifts &amp; Materials'!E18:E33,"Not Applicable"))+('Cranes, Hoists &amp; Rigging'!C8-COUNTIF('Cranes, Hoists &amp; Rigging'!E18:E31,"Not Applicable"))+('Hazardous Materials'!C8-COUNTIF('Hazardous Materials'!E18:E31,"Not Applicable"))+('Occ. Health &amp; Noise'!C8-COUNTIF('Occ. Health &amp; Noise'!E18:E29,"Not Applicable"))+('Medical &amp; First Aid'!C8-COUNTIF('Medical &amp; First Aid'!E18:E27,"Not Applicable"))+('Welding &amp; Hot Work'!C8-COUNTIF('Welding &amp; Hot Work'!E18:E30,"Not Applicable"))+('BBP &amp; Sanitation'!C8-COUNTIF('BBP &amp; Sanitation'!E18:E35,"Not Applicable"))+('State Requirements'!C8-COUNTIF('State Requirements'!E19:E118,"Not Applicable"))),"")</f>
        <v>1.4164305949008499E-3</v>
      </c>
    </row>
    <row r="12" spans="1:20" ht="15.75" customHeight="1" x14ac:dyDescent="0.45">
      <c r="H12" s="22" t="s">
        <v>99</v>
      </c>
      <c r="J12" s="23">
        <f>COUNTIF('Confined Space'!E18:E48,"Very High")+COUNTIF(PPE!E18:E51,"Very High")+COUNTIF('Walking &amp; Working Surfaces'!E18:E48,"Very High")+COUNTIF(Recordkeeping!E18:E59,"Very High")+COUNTIF(LOTO!E18:E36,"Very High")+COUNTIF('Egress &amp; Emergency Action'!E18:E40,"Very High")+COUNTIF('Fire Protection &amp; Alarms'!E18:E40,"Very High")+COUNTIF('Machine Guarding'!E18:E32,"Very High")+COUNTIF('Electrical Safety'!E18:E38,"Very High")+COUNTIF('Hand &amp; Power Tools'!E18:E36,"Very High")+COUNTIF('Hazard Communication'!E18:E32,"Very High")+COUNTIF('Forklifts &amp; Materials'!E18:E33,"Very High")+COUNTIF('Cranes, Hoists &amp; Rigging'!E18:E31,"Very High")+COUNTIF('Hazardous Materials'!E18:E31,"Very High")+COUNTIF('Occ. Health &amp; Noise'!E18:E29,"Very High")+COUNTIF('Medical &amp; First Aid'!E18:E27,"Very High")+COUNTIF('Welding &amp; Hot Work'!E18:E30,"Very High")+COUNTIF('BBP &amp; Sanitation'!E18:E35,"Very High")+COUNTIF('State Requirements'!E19:E118,"Very High")</f>
        <v>4</v>
      </c>
      <c r="L12" s="24">
        <f ca="1">IFERROR(J12/(('Confined Space'!C8-COUNTIF('Confined Space'!E18:E48,"Not Applicable"))+(PPE!C8-COUNTIF(PPE!E18:E51,"Not Applicable"))+('Walking &amp; Working Surfaces'!C8-COUNTIF('Walking &amp; Working Surfaces'!E18:E48,"Not Applicable"))+(Recordkeeping!C8-COUNTIF(Recordkeeping!E18:E59,"Not Applicable"))+(LOTO!C8-COUNTIF(LOTO!E18:E36,"Not Applicable"))+('Egress &amp; Emergency Action'!C8-COUNTIF('Egress &amp; Emergency Action'!E18:E40,"Not Applicable"))+('Fire Protection &amp; Alarms'!C8-COUNTIF('Fire Protection &amp; Alarms'!E18:E40,"Not Applicable"))+('Machine Guarding'!C8-COUNTIF('Machine Guarding'!E18:E32,"Not Applicable"))+('Electrical Safety'!C8-COUNTIF('Electrical Safety'!E18:E38,"Not Applicable"))+('Hand &amp; Power Tools'!C8-COUNTIF('Hand &amp; Power Tools'!E18:E36,"Not Applicable"))+('Hazard Communication'!C8-COUNTIF('Hazard Communication'!E18:E32,"Not Applicable"))+('Forklifts &amp; Materials'!C8-COUNTIF('Forklifts &amp; Materials'!E18:E33,"Not Applicable"))+('Cranes, Hoists &amp; Rigging'!C8-COUNTIF('Cranes, Hoists &amp; Rigging'!E18:E31,"Not Applicable"))+('Hazardous Materials'!C8-COUNTIF('Hazardous Materials'!E18:E31,"Not Applicable"))+('Occ. Health &amp; Noise'!C8-COUNTIF('Occ. Health &amp; Noise'!E18:E29,"Not Applicable"))+('Medical &amp; First Aid'!C8-COUNTIF('Medical &amp; First Aid'!E18:E27,"Not Applicable"))+('Welding &amp; Hot Work'!C8-COUNTIF('Welding &amp; Hot Work'!E18:E30,"Not Applicable"))+('BBP &amp; Sanitation'!C8-COUNTIF('BBP &amp; Sanitation'!E18:E35,"Not Applicable"))+('State Requirements'!C8-COUNTIF('State Requirements'!E19:E118,"Not Applicable"))),"")</f>
        <v>1.8885741265344666E-3</v>
      </c>
    </row>
    <row r="13" spans="1:20" ht="18" customHeight="1" x14ac:dyDescent="0.45">
      <c r="A13" s="101" t="s">
        <v>100</v>
      </c>
      <c r="B13" s="86"/>
      <c r="C13" s="86"/>
      <c r="D13" s="86"/>
      <c r="E13" s="86"/>
      <c r="F13" s="86"/>
      <c r="G13" s="86"/>
      <c r="H13" s="86"/>
      <c r="I13" s="86"/>
      <c r="J13" s="86"/>
      <c r="K13" s="86"/>
      <c r="L13" s="86"/>
      <c r="M13" s="86"/>
      <c r="N13" s="86"/>
      <c r="O13" s="86"/>
      <c r="P13" s="86"/>
      <c r="Q13" s="86"/>
      <c r="R13" s="97"/>
    </row>
    <row r="14" spans="1:20" ht="13.5" customHeight="1" x14ac:dyDescent="0.45">
      <c r="A14" s="105" t="s">
        <v>101</v>
      </c>
      <c r="B14" s="97"/>
      <c r="C14" s="105" t="s">
        <v>102</v>
      </c>
      <c r="D14" s="97"/>
      <c r="E14" s="105" t="s">
        <v>103</v>
      </c>
      <c r="F14" s="97"/>
      <c r="G14" s="105" t="s">
        <v>104</v>
      </c>
      <c r="H14" s="97"/>
      <c r="I14" s="105" t="s">
        <v>105</v>
      </c>
      <c r="J14" s="97"/>
      <c r="K14" s="105" t="s">
        <v>106</v>
      </c>
      <c r="L14" s="97"/>
      <c r="M14" s="105" t="s">
        <v>107</v>
      </c>
      <c r="N14" s="97"/>
      <c r="O14" s="105" t="s">
        <v>108</v>
      </c>
      <c r="P14" s="97"/>
      <c r="Q14" s="105" t="s">
        <v>109</v>
      </c>
      <c r="R14" s="97"/>
    </row>
    <row r="15" spans="1:20" ht="37.5" customHeight="1" x14ac:dyDescent="0.45">
      <c r="A15" s="96">
        <f>'Confined Space'!D8</f>
        <v>0.61624999999999996</v>
      </c>
      <c r="B15" s="97"/>
      <c r="C15" s="96">
        <f>PPE!D8</f>
        <v>0</v>
      </c>
      <c r="D15" s="97"/>
      <c r="E15" s="96">
        <f>'Walking &amp; Working Surfaces'!D8</f>
        <v>0</v>
      </c>
      <c r="F15" s="97"/>
      <c r="G15" s="96">
        <f>Recordkeeping!D8</f>
        <v>0</v>
      </c>
      <c r="H15" s="97"/>
      <c r="I15" s="96">
        <f>LOTO!D8</f>
        <v>0</v>
      </c>
      <c r="J15" s="97"/>
      <c r="K15" s="96">
        <f>'Egress &amp; Emergency Action'!D8</f>
        <v>0</v>
      </c>
      <c r="L15" s="97"/>
      <c r="M15" s="96">
        <f>'Fire Protection &amp; Alarms'!D8</f>
        <v>0</v>
      </c>
      <c r="N15" s="97"/>
      <c r="O15" s="96">
        <f>'Machine Guarding'!D8</f>
        <v>0</v>
      </c>
      <c r="P15" s="97"/>
      <c r="Q15" s="96">
        <f>'Electrical Safety'!D8</f>
        <v>0</v>
      </c>
      <c r="R15" s="97"/>
    </row>
    <row r="16" spans="1:20" ht="13.5" customHeight="1" x14ac:dyDescent="0.45">
      <c r="A16" s="102" t="str">
        <f>'Confined Space'!B8&amp;" / "&amp;'Confined Space'!C8</f>
        <v>98.6 / 160</v>
      </c>
      <c r="B16" s="97"/>
      <c r="C16" s="102" t="str">
        <f>PPE!B8&amp;" / "&amp;PPE!C8</f>
        <v>0 / 193</v>
      </c>
      <c r="D16" s="97"/>
      <c r="E16" s="102" t="str">
        <f>'Walking &amp; Working Surfaces'!B8&amp;" / "&amp;'Walking &amp; Working Surfaces'!C8</f>
        <v>0 / 145</v>
      </c>
      <c r="F16" s="97"/>
      <c r="G16" s="102" t="str">
        <f>Recordkeeping!B8&amp;" / "&amp;Recordkeeping!C8</f>
        <v>0 / 225</v>
      </c>
      <c r="H16" s="97"/>
      <c r="I16" s="102" t="str">
        <f>LOTO!B8&amp;" / "&amp;LOTO!C8</f>
        <v>0 / 142</v>
      </c>
      <c r="J16" s="97"/>
      <c r="K16" s="102" t="str">
        <f>'Egress &amp; Emergency Action'!B8&amp;" / "&amp;'Egress &amp; Emergency Action'!C8</f>
        <v>0 / 147</v>
      </c>
      <c r="L16" s="97"/>
      <c r="M16" s="102" t="str">
        <f>'Fire Protection &amp; Alarms'!B8&amp;" / "&amp;'Fire Protection &amp; Alarms'!C8</f>
        <v>0 / 124</v>
      </c>
      <c r="N16" s="97"/>
      <c r="O16" s="102" t="str">
        <f>'Machine Guarding'!B8&amp;" / "&amp;'Machine Guarding'!C8</f>
        <v>0 / 91</v>
      </c>
      <c r="P16" s="97"/>
      <c r="Q16" s="102" t="str">
        <f>'Electrical Safety'!B8&amp;" / "&amp;'Electrical Safety'!C8</f>
        <v>0 / 134</v>
      </c>
      <c r="R16" s="97"/>
    </row>
    <row r="17" spans="1:18" ht="15.75" customHeight="1" x14ac:dyDescent="0.45">
      <c r="A17" s="100" t="str">
        <f>IF('Confined Space'!D8="N/A","N/A",IF('Confined Space'!D8&gt;=0.99,"Excellence Leader",IF('Confined Space'!D8&gt;=0.9,"Gold",IF('Confined Space'!D8&gt;=0.8,"Silver",IF('Confined Space'!D8&gt;=0.51,"Bronze","Developing")))))</f>
        <v>Bronze</v>
      </c>
      <c r="B17" s="97"/>
      <c r="C17" s="100" t="str">
        <f>IF(PPE!D8="N/A","N/A",IF(PPE!D8&gt;=0.99,"Excellence Leader",IF(PPE!D8&gt;=0.9,"Gold",IF(PPE!D8&gt;=0.8,"Silver",IF(PPE!D8&gt;=0.51,"Bronze","Developing")))))</f>
        <v>Developing</v>
      </c>
      <c r="D17" s="97"/>
      <c r="E17" s="100" t="str">
        <f>IF('Walking &amp; Working Surfaces'!D8="N/A","N/A",IF('Walking &amp; Working Surfaces'!D8&gt;=0.99,"Excellence Leader",IF('Walking &amp; Working Surfaces'!D8&gt;=0.9,"Gold",IF('Walking &amp; Working Surfaces'!D8&gt;=0.8,"Silver",IF('Walking &amp; Working Surfaces'!D8&gt;=0.51,"Bronze","Developing")))))</f>
        <v>Developing</v>
      </c>
      <c r="F17" s="97"/>
      <c r="G17" s="100" t="str">
        <f>IF(Recordkeeping!D8="N/A","N/A",IF(Recordkeeping!D8&gt;=0.99,"Excellence Leader",IF(Recordkeeping!D8&gt;=0.9,"Gold",IF(Recordkeeping!D8&gt;=0.8,"Silver",IF(Recordkeeping!D8&gt;=0.51,"Bronze","Developing")))))</f>
        <v>Developing</v>
      </c>
      <c r="H17" s="97"/>
      <c r="I17" s="100" t="str">
        <f>IF(LOTO!D8="N/A","N/A",IF(LOTO!D8&gt;=0.99,"Excellence Leader",IF(LOTO!D8&gt;=0.9,"Gold",IF(LOTO!D8&gt;=0.8,"Silver",IF(LOTO!D8&gt;=0.51,"Bronze","Developing")))))</f>
        <v>Developing</v>
      </c>
      <c r="J17" s="97"/>
      <c r="K17" s="100" t="str">
        <f>IF('Egress &amp; Emergency Action'!D8="N/A","N/A",IF('Egress &amp; Emergency Action'!D8&gt;=0.99,"Excellence Leader",IF('Egress &amp; Emergency Action'!D8&gt;=0.9,"Gold",IF('Egress &amp; Emergency Action'!D8&gt;=0.8,"Silver",IF('Egress &amp; Emergency Action'!D8&gt;=0.51,"Bronze","Developing")))))</f>
        <v>Developing</v>
      </c>
      <c r="L17" s="97"/>
      <c r="M17" s="100" t="str">
        <f>IF('Fire Protection &amp; Alarms'!D8="N/A","N/A",IF('Fire Protection &amp; Alarms'!D8&gt;=0.99,"Excellence Leader",IF('Fire Protection &amp; Alarms'!D8&gt;=0.9,"Gold",IF('Fire Protection &amp; Alarms'!D8&gt;=0.8,"Silver",IF('Fire Protection &amp; Alarms'!D8&gt;=0.51,"Bronze","Developing")))))</f>
        <v>Developing</v>
      </c>
      <c r="N17" s="97"/>
      <c r="O17" s="100" t="str">
        <f>IF('Machine Guarding'!D8="N/A","N/A",IF('Machine Guarding'!D8&gt;=0.99,"Excellence Leader",IF('Machine Guarding'!D8&gt;=0.9,"Gold",IF('Machine Guarding'!D8&gt;=0.8,"Silver",IF('Machine Guarding'!D8&gt;=0.51,"Bronze","Developing")))))</f>
        <v>Developing</v>
      </c>
      <c r="P17" s="97"/>
      <c r="Q17" s="100" t="str">
        <f>IF('Electrical Safety'!D8="N/A","N/A",IF('Electrical Safety'!D8&gt;=0.99,"Excellence Leader",IF('Electrical Safety'!D8&gt;=0.9,"Gold",IF('Electrical Safety'!D8&gt;=0.8,"Silver",IF('Electrical Safety'!D8&gt;=0.51,"Bronze","Developing")))))</f>
        <v>Developing</v>
      </c>
      <c r="R17" s="97"/>
    </row>
    <row r="18" spans="1:18" ht="13.5" customHeight="1" x14ac:dyDescent="0.45">
      <c r="A18" s="98" t="s">
        <v>110</v>
      </c>
      <c r="B18" s="97"/>
      <c r="C18" s="98" t="s">
        <v>111</v>
      </c>
      <c r="D18" s="97"/>
      <c r="E18" s="98" t="s">
        <v>112</v>
      </c>
      <c r="F18" s="97"/>
      <c r="G18" s="98" t="s">
        <v>113</v>
      </c>
      <c r="H18" s="97"/>
      <c r="I18" s="98" t="s">
        <v>114</v>
      </c>
      <c r="J18" s="97"/>
      <c r="K18" s="98" t="s">
        <v>115</v>
      </c>
      <c r="L18" s="97"/>
      <c r="M18" s="98" t="s">
        <v>116</v>
      </c>
      <c r="N18" s="97"/>
      <c r="O18" s="98" t="s">
        <v>117</v>
      </c>
      <c r="P18" s="97"/>
      <c r="Q18" s="98" t="s">
        <v>118</v>
      </c>
      <c r="R18" s="97"/>
    </row>
    <row r="19" spans="1:18" ht="7.5" customHeight="1" x14ac:dyDescent="0.45"/>
    <row r="20" spans="1:18" ht="13.5" customHeight="1" x14ac:dyDescent="0.45">
      <c r="A20" s="105" t="s">
        <v>119</v>
      </c>
      <c r="B20" s="97"/>
      <c r="C20" s="105" t="s">
        <v>120</v>
      </c>
      <c r="D20" s="97"/>
      <c r="E20" s="105" t="s">
        <v>121</v>
      </c>
      <c r="F20" s="97"/>
      <c r="G20" s="105" t="s">
        <v>122</v>
      </c>
      <c r="H20" s="97"/>
      <c r="I20" s="105" t="s">
        <v>123</v>
      </c>
      <c r="J20" s="97"/>
      <c r="K20" s="105" t="s">
        <v>124</v>
      </c>
      <c r="L20" s="97"/>
      <c r="M20" s="105" t="s">
        <v>125</v>
      </c>
      <c r="N20" s="97"/>
      <c r="O20" s="105" t="s">
        <v>126</v>
      </c>
      <c r="P20" s="97"/>
      <c r="Q20" s="105" t="s">
        <v>127</v>
      </c>
      <c r="R20" s="97"/>
    </row>
    <row r="21" spans="1:18" ht="37.5" customHeight="1" x14ac:dyDescent="0.45">
      <c r="A21" s="96">
        <f>'Hand &amp; Power Tools'!D8</f>
        <v>0</v>
      </c>
      <c r="B21" s="97"/>
      <c r="C21" s="96">
        <f>'Hazard Communication'!D8</f>
        <v>0</v>
      </c>
      <c r="D21" s="97"/>
      <c r="E21" s="96">
        <f>'Forklifts &amp; Materials'!D8</f>
        <v>0</v>
      </c>
      <c r="F21" s="97"/>
      <c r="G21" s="96">
        <f>'Cranes, Hoists &amp; Rigging'!D8</f>
        <v>0</v>
      </c>
      <c r="H21" s="97"/>
      <c r="I21" s="96">
        <f>'Hazardous Materials'!D8</f>
        <v>0</v>
      </c>
      <c r="J21" s="97"/>
      <c r="K21" s="96">
        <f>'Occ. Health &amp; Noise'!D8</f>
        <v>0</v>
      </c>
      <c r="L21" s="97"/>
      <c r="M21" s="96">
        <f>'Medical &amp; First Aid'!D8</f>
        <v>0</v>
      </c>
      <c r="N21" s="97"/>
      <c r="O21" s="96">
        <f>'Welding &amp; Hot Work'!D8</f>
        <v>0</v>
      </c>
      <c r="P21" s="97"/>
      <c r="Q21" s="96">
        <f>'BBP &amp; Sanitation'!D8</f>
        <v>0</v>
      </c>
      <c r="R21" s="97"/>
    </row>
    <row r="22" spans="1:18" ht="13.5" customHeight="1" x14ac:dyDescent="0.45">
      <c r="A22" s="102" t="str">
        <f>'Hand &amp; Power Tools'!B8&amp;" / "&amp;'Hand &amp; Power Tools'!C8</f>
        <v>0 / 97</v>
      </c>
      <c r="B22" s="97"/>
      <c r="C22" s="102" t="str">
        <f>'Hazard Communication'!B8&amp;" / "&amp;'Hazard Communication'!C8</f>
        <v>0 / 84</v>
      </c>
      <c r="D22" s="97"/>
      <c r="E22" s="102" t="str">
        <f>'Forklifts &amp; Materials'!B8&amp;" / "&amp;'Forklifts &amp; Materials'!C8</f>
        <v>0 / 88</v>
      </c>
      <c r="F22" s="97"/>
      <c r="G22" s="102" t="str">
        <f>'Cranes, Hoists &amp; Rigging'!B8&amp;" / "&amp;'Cranes, Hoists &amp; Rigging'!C8</f>
        <v>0 / 88</v>
      </c>
      <c r="H22" s="97"/>
      <c r="I22" s="102" t="str">
        <f>'Hazardous Materials'!B8&amp;" / "&amp;'Hazardous Materials'!C8</f>
        <v>0 / 84</v>
      </c>
      <c r="J22" s="97"/>
      <c r="K22" s="102" t="str">
        <f>'Occ. Health &amp; Noise'!B8&amp;" / "&amp;'Occ. Health &amp; Noise'!C8</f>
        <v>0 / 80</v>
      </c>
      <c r="L22" s="97"/>
      <c r="M22" s="102" t="str">
        <f>'Medical &amp; First Aid'!B8&amp;" / "&amp;'Medical &amp; First Aid'!C8</f>
        <v>0 / 68</v>
      </c>
      <c r="N22" s="97"/>
      <c r="O22" s="102" t="str">
        <f>'Welding &amp; Hot Work'!B8&amp;" / "&amp;'Welding &amp; Hot Work'!C8</f>
        <v>0 / 76</v>
      </c>
      <c r="P22" s="97"/>
      <c r="Q22" s="102" t="str">
        <f>'BBP &amp; Sanitation'!B8&amp;" / "&amp;'BBP &amp; Sanitation'!C8</f>
        <v>0 / 96</v>
      </c>
      <c r="R22" s="97"/>
    </row>
    <row r="23" spans="1:18" ht="15.75" customHeight="1" x14ac:dyDescent="0.45">
      <c r="A23" s="100" t="str">
        <f>IF('Hand &amp; Power Tools'!D8="N/A","N/A",IF('Hand &amp; Power Tools'!D8&gt;=0.99,"Excellence Leader",IF('Hand &amp; Power Tools'!D8&gt;=0.9,"Gold",IF('Hand &amp; Power Tools'!D8&gt;=0.8,"Silver",IF('Hand &amp; Power Tools'!D8&gt;=0.51,"Bronze","Developing")))))</f>
        <v>Developing</v>
      </c>
      <c r="B23" s="97"/>
      <c r="C23" s="100" t="str">
        <f>IF('Hazard Communication'!D8="N/A","N/A",IF('Hazard Communication'!D8&gt;=0.99,"Excellence Leader",IF('Hazard Communication'!D8&gt;=0.9,"Gold",IF('Hazard Communication'!D8&gt;=0.8,"Silver",IF('Hazard Communication'!D8&gt;=0.51,"Bronze","Developing")))))</f>
        <v>Developing</v>
      </c>
      <c r="D23" s="97"/>
      <c r="E23" s="100" t="str">
        <f>IF('Forklifts &amp; Materials'!D8="N/A","N/A",IF('Forklifts &amp; Materials'!D8&gt;=0.99,"Excellence Leader",IF('Forklifts &amp; Materials'!D8&gt;=0.9,"Gold",IF('Forklifts &amp; Materials'!D8&gt;=0.8,"Silver",IF('Forklifts &amp; Materials'!D8&gt;=0.51,"Bronze","Developing")))))</f>
        <v>Developing</v>
      </c>
      <c r="F23" s="97"/>
      <c r="G23" s="100" t="str">
        <f>IF('Cranes, Hoists &amp; Rigging'!D8="N/A","N/A",IF('Cranes, Hoists &amp; Rigging'!D8&gt;=0.99,"Excellence Leader",IF('Cranes, Hoists &amp; Rigging'!D8&gt;=0.9,"Gold",IF('Cranes, Hoists &amp; Rigging'!D8&gt;=0.8,"Silver",IF('Cranes, Hoists &amp; Rigging'!D8&gt;=0.51,"Bronze","Developing")))))</f>
        <v>Developing</v>
      </c>
      <c r="H23" s="97"/>
      <c r="I23" s="100" t="str">
        <f>IF('Hazardous Materials'!D8="N/A","N/A",IF('Hazardous Materials'!D8&gt;=0.99,"Excellence Leader",IF('Hazardous Materials'!D8&gt;=0.9,"Gold",IF('Hazardous Materials'!D8&gt;=0.8,"Silver",IF('Hazardous Materials'!D8&gt;=0.51,"Bronze","Developing")))))</f>
        <v>Developing</v>
      </c>
      <c r="J23" s="97"/>
      <c r="K23" s="100" t="str">
        <f>IF('Occ. Health &amp; Noise'!D8="N/A","N/A",IF('Occ. Health &amp; Noise'!D8&gt;=0.99,"Excellence Leader",IF('Occ. Health &amp; Noise'!D8&gt;=0.9,"Gold",IF('Occ. Health &amp; Noise'!D8&gt;=0.8,"Silver",IF('Occ. Health &amp; Noise'!D8&gt;=0.51,"Bronze","Developing")))))</f>
        <v>Developing</v>
      </c>
      <c r="L23" s="97"/>
      <c r="M23" s="100" t="str">
        <f>IF('Medical &amp; First Aid'!D8="N/A","N/A",IF('Medical &amp; First Aid'!D8&gt;=0.99,"Excellence Leader",IF('Medical &amp; First Aid'!D8&gt;=0.9,"Gold",IF('Medical &amp; First Aid'!D8&gt;=0.8,"Silver",IF('Medical &amp; First Aid'!D8&gt;=0.51,"Bronze","Developing")))))</f>
        <v>Developing</v>
      </c>
      <c r="N23" s="97"/>
      <c r="O23" s="100" t="str">
        <f>IF('Welding &amp; Hot Work'!D8="N/A","N/A",IF('Welding &amp; Hot Work'!D8&gt;=0.99,"Excellence Leader",IF('Welding &amp; Hot Work'!D8&gt;=0.9,"Gold",IF('Welding &amp; Hot Work'!D8&gt;=0.8,"Silver",IF('Welding &amp; Hot Work'!D8&gt;=0.51,"Bronze","Developing")))))</f>
        <v>Developing</v>
      </c>
      <c r="P23" s="97"/>
      <c r="Q23" s="100" t="str">
        <f>IF('BBP &amp; Sanitation'!D8="N/A","N/A",IF('BBP &amp; Sanitation'!D8&gt;=0.99,"Excellence Leader",IF('BBP &amp; Sanitation'!D8&gt;=0.9,"Gold",IF('BBP &amp; Sanitation'!D8&gt;=0.8,"Silver",IF('BBP &amp; Sanitation'!D8&gt;=0.51,"Bronze","Developing")))))</f>
        <v>Developing</v>
      </c>
      <c r="R23" s="97"/>
    </row>
    <row r="24" spans="1:18" ht="13.5" customHeight="1" x14ac:dyDescent="0.45">
      <c r="A24" s="98" t="s">
        <v>128</v>
      </c>
      <c r="B24" s="97"/>
      <c r="C24" s="98" t="s">
        <v>129</v>
      </c>
      <c r="D24" s="97"/>
      <c r="E24" s="98" t="s">
        <v>130</v>
      </c>
      <c r="F24" s="97"/>
      <c r="G24" s="98" t="s">
        <v>131</v>
      </c>
      <c r="H24" s="97"/>
      <c r="I24" s="98" t="s">
        <v>132</v>
      </c>
      <c r="J24" s="97"/>
      <c r="K24" s="98" t="s">
        <v>133</v>
      </c>
      <c r="L24" s="97"/>
      <c r="M24" s="98" t="s">
        <v>134</v>
      </c>
      <c r="N24" s="97"/>
      <c r="O24" s="98" t="s">
        <v>135</v>
      </c>
      <c r="P24" s="97"/>
      <c r="Q24" s="98" t="s">
        <v>136</v>
      </c>
      <c r="R24" s="97"/>
    </row>
    <row r="25" spans="1:18" ht="7.5" customHeight="1" x14ac:dyDescent="0.45"/>
    <row r="26" spans="1:18" ht="13.5" customHeight="1" x14ac:dyDescent="0.45">
      <c r="A26" s="108" t="s">
        <v>137</v>
      </c>
      <c r="B26" s="86"/>
      <c r="C26" s="86"/>
      <c r="D26" s="86"/>
      <c r="E26" s="86"/>
      <c r="F26" s="86"/>
      <c r="G26" s="86"/>
      <c r="H26" s="86"/>
      <c r="I26" s="86"/>
      <c r="J26" s="86"/>
      <c r="K26" s="86"/>
      <c r="L26" s="86"/>
      <c r="M26" s="86"/>
      <c r="N26" s="86"/>
      <c r="O26" s="86"/>
      <c r="P26" s="86"/>
      <c r="Q26" s="86"/>
      <c r="R26" s="97"/>
    </row>
    <row r="27" spans="1:18" ht="15.75" customHeight="1" x14ac:dyDescent="0.45">
      <c r="A27" s="115" t="s">
        <v>138</v>
      </c>
      <c r="B27" s="86"/>
      <c r="C27" s="97"/>
      <c r="D27" s="107" t="s">
        <v>139</v>
      </c>
      <c r="E27" s="86"/>
      <c r="F27" s="97"/>
      <c r="G27" s="111" t="s">
        <v>140</v>
      </c>
      <c r="H27" s="86"/>
      <c r="I27" s="97"/>
      <c r="J27" s="99" t="s">
        <v>141</v>
      </c>
      <c r="K27" s="86"/>
      <c r="L27" s="97"/>
      <c r="M27" s="113" t="s">
        <v>142</v>
      </c>
      <c r="N27" s="86"/>
      <c r="O27" s="86"/>
      <c r="P27" s="86"/>
      <c r="Q27" s="86"/>
      <c r="R27" s="97"/>
    </row>
    <row r="28" spans="1:18" ht="15.75" customHeight="1" x14ac:dyDescent="0.45">
      <c r="A28" s="25" t="s">
        <v>143</v>
      </c>
    </row>
    <row r="29" spans="1:18" ht="14.25" customHeight="1" x14ac:dyDescent="0.45">
      <c r="A29" s="26" t="s">
        <v>144</v>
      </c>
      <c r="B29" s="27"/>
      <c r="C29" s="27"/>
    </row>
    <row r="30" spans="1:18" ht="21.75" customHeight="1" x14ac:dyDescent="0.45">
      <c r="A30" s="28" t="str">
        <f ca="1">'State Requirements'!D8</f>
        <v>N/A</v>
      </c>
      <c r="B30" s="27"/>
      <c r="C30" s="27"/>
    </row>
    <row r="31" spans="1:18" ht="14.25" customHeight="1" x14ac:dyDescent="0.45">
      <c r="A31" s="29" t="str">
        <f ca="1">'State Requirements'!B8&amp;" / "&amp;'State Requirements'!C8</f>
        <v>0 / 0</v>
      </c>
      <c r="B31" s="27"/>
      <c r="C31" s="27"/>
    </row>
    <row r="32" spans="1:18" ht="14.25" customHeight="1" x14ac:dyDescent="0.45">
      <c r="A32" s="30" t="str">
        <f ca="1">IF('State Requirements'!D8="N/A","N/A",IF('State Requirements'!D8&gt;=0.99,"Excellence Leader",IF('State Requirements'!D8&gt;=0.9,"Gold",IF('State Requirements'!D8&gt;=0.8,"Silver",IF('State Requirements'!D8&gt;=0.51,"Bronze","Developing")))))</f>
        <v>N/A</v>
      </c>
      <c r="B32" s="27"/>
      <c r="C32" s="27"/>
    </row>
    <row r="33" spans="1:3" ht="27.75" customHeight="1" x14ac:dyDescent="0.45">
      <c r="A33" s="31" t="str">
        <f>'Pre-Audit Scoping'!D17</f>
        <v>Maryland (MOSH)</v>
      </c>
      <c r="B33" s="27"/>
      <c r="C33" s="27"/>
    </row>
    <row r="34" spans="1:3" ht="14.25" customHeight="1" x14ac:dyDescent="0.45">
      <c r="A34" s="32" t="s">
        <v>145</v>
      </c>
      <c r="B34" s="27"/>
      <c r="C34" s="27"/>
    </row>
  </sheetData>
  <mergeCells count="112">
    <mergeCell ref="N3:R3"/>
    <mergeCell ref="I22:J22"/>
    <mergeCell ref="A18:B18"/>
    <mergeCell ref="K22:L22"/>
    <mergeCell ref="M22:N22"/>
    <mergeCell ref="G3:H3"/>
    <mergeCell ref="A13:R13"/>
    <mergeCell ref="Q22:R22"/>
    <mergeCell ref="G14:H14"/>
    <mergeCell ref="I14:J14"/>
    <mergeCell ref="K14:L14"/>
    <mergeCell ref="A20:B20"/>
    <mergeCell ref="M14:N14"/>
    <mergeCell ref="O14:P14"/>
    <mergeCell ref="A6:F6"/>
    <mergeCell ref="E21:F21"/>
    <mergeCell ref="Q16:R16"/>
    <mergeCell ref="A24:B24"/>
    <mergeCell ref="C24:D24"/>
    <mergeCell ref="E24:F24"/>
    <mergeCell ref="O24:P24"/>
    <mergeCell ref="A27:C27"/>
    <mergeCell ref="Q24:R24"/>
    <mergeCell ref="O18:P18"/>
    <mergeCell ref="Q18:R18"/>
    <mergeCell ref="E17:F17"/>
    <mergeCell ref="G17:H17"/>
    <mergeCell ref="A16:B16"/>
    <mergeCell ref="K20:L20"/>
    <mergeCell ref="C16:D16"/>
    <mergeCell ref="M20:N20"/>
    <mergeCell ref="G15:H15"/>
    <mergeCell ref="A14:B14"/>
    <mergeCell ref="I23:J23"/>
    <mergeCell ref="A23:B23"/>
    <mergeCell ref="K23:L23"/>
    <mergeCell ref="C23:D23"/>
    <mergeCell ref="M23:N23"/>
    <mergeCell ref="O23:P23"/>
    <mergeCell ref="K18:L18"/>
    <mergeCell ref="G27:I27"/>
    <mergeCell ref="G16:H16"/>
    <mergeCell ref="A1:R1"/>
    <mergeCell ref="C18:D18"/>
    <mergeCell ref="H5:R5"/>
    <mergeCell ref="E18:F18"/>
    <mergeCell ref="K16:L16"/>
    <mergeCell ref="I3:K3"/>
    <mergeCell ref="C20:D20"/>
    <mergeCell ref="E20:F20"/>
    <mergeCell ref="M27:R27"/>
    <mergeCell ref="O20:P20"/>
    <mergeCell ref="Q20:R20"/>
    <mergeCell ref="A8:F8"/>
    <mergeCell ref="Q14:R14"/>
    <mergeCell ref="C22:D22"/>
    <mergeCell ref="A3:B3"/>
    <mergeCell ref="O22:P22"/>
    <mergeCell ref="I21:J21"/>
    <mergeCell ref="A21:B21"/>
    <mergeCell ref="A10:F10"/>
    <mergeCell ref="M15:N15"/>
    <mergeCell ref="C21:D21"/>
    <mergeCell ref="E15:F15"/>
    <mergeCell ref="L3:M3"/>
    <mergeCell ref="I16:J16"/>
    <mergeCell ref="A2:R2"/>
    <mergeCell ref="A5:F5"/>
    <mergeCell ref="G18:H18"/>
    <mergeCell ref="I18:J18"/>
    <mergeCell ref="M16:N16"/>
    <mergeCell ref="O16:P16"/>
    <mergeCell ref="M18:N18"/>
    <mergeCell ref="A17:B17"/>
    <mergeCell ref="C17:D17"/>
    <mergeCell ref="M17:N17"/>
    <mergeCell ref="O17:P17"/>
    <mergeCell ref="Q17:R17"/>
    <mergeCell ref="A7:F7"/>
    <mergeCell ref="I15:J15"/>
    <mergeCell ref="K15:L15"/>
    <mergeCell ref="C14:D14"/>
    <mergeCell ref="E14:F14"/>
    <mergeCell ref="C3:F3"/>
    <mergeCell ref="Q15:R15"/>
    <mergeCell ref="A9:F9"/>
    <mergeCell ref="I17:J17"/>
    <mergeCell ref="K17:L17"/>
    <mergeCell ref="G21:H21"/>
    <mergeCell ref="A15:B15"/>
    <mergeCell ref="Q21:R21"/>
    <mergeCell ref="C15:D15"/>
    <mergeCell ref="K24:L24"/>
    <mergeCell ref="J27:L27"/>
    <mergeCell ref="E23:F23"/>
    <mergeCell ref="O15:P15"/>
    <mergeCell ref="G23:H23"/>
    <mergeCell ref="A22:B22"/>
    <mergeCell ref="G20:H20"/>
    <mergeCell ref="I20:J20"/>
    <mergeCell ref="E22:F22"/>
    <mergeCell ref="G22:H22"/>
    <mergeCell ref="D27:F27"/>
    <mergeCell ref="K21:L21"/>
    <mergeCell ref="A26:R26"/>
    <mergeCell ref="Q23:R23"/>
    <mergeCell ref="M21:N21"/>
    <mergeCell ref="G24:H24"/>
    <mergeCell ref="O21:P21"/>
    <mergeCell ref="I24:J24"/>
    <mergeCell ref="M24:N24"/>
    <mergeCell ref="E16:F16"/>
  </mergeCells>
  <conditionalFormatting sqref="A10:F10">
    <cfRule type="cellIs" dxfId="252" priority="2" operator="equal">
      <formula>"Excellence Leader"</formula>
    </cfRule>
    <cfRule type="cellIs" dxfId="251" priority="3" operator="equal">
      <formula>"Gold"</formula>
    </cfRule>
    <cfRule type="cellIs" dxfId="250" priority="4" operator="equal">
      <formula>"Silver"</formula>
    </cfRule>
    <cfRule type="cellIs" dxfId="249" priority="5" operator="equal">
      <formula>"Bronze"</formula>
    </cfRule>
    <cfRule type="cellIs" dxfId="248" priority="6" operator="equal">
      <formula>"Developing"</formula>
    </cfRule>
  </conditionalFormatting>
  <conditionalFormatting sqref="A17:R17">
    <cfRule type="cellIs" dxfId="247" priority="7" operator="equal">
      <formula>"Excellence Leader"</formula>
    </cfRule>
    <cfRule type="cellIs" dxfId="246" priority="8" operator="equal">
      <formula>"Gold"</formula>
    </cfRule>
    <cfRule type="cellIs" dxfId="245" priority="9" operator="equal">
      <formula>"Silver"</formula>
    </cfRule>
    <cfRule type="cellIs" dxfId="244" priority="10" operator="equal">
      <formula>"Bronze"</formula>
    </cfRule>
    <cfRule type="cellIs" dxfId="243" priority="11" operator="equal">
      <formula>"Developing"</formula>
    </cfRule>
  </conditionalFormatting>
  <conditionalFormatting sqref="A23:R23">
    <cfRule type="cellIs" dxfId="242" priority="12" operator="equal">
      <formula>"Excellence Leader"</formula>
    </cfRule>
    <cfRule type="cellIs" dxfId="241" priority="13" operator="equal">
      <formula>"Gold"</formula>
    </cfRule>
    <cfRule type="cellIs" dxfId="240" priority="14" operator="equal">
      <formula>"Silver"</formula>
    </cfRule>
    <cfRule type="cellIs" dxfId="239" priority="15" operator="equal">
      <formula>"Bronze"</formula>
    </cfRule>
    <cfRule type="cellIs" dxfId="238" priority="16" operator="equal">
      <formula>"Developing"</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0"/>
  <sheetViews>
    <sheetView topLeftCell="A26" workbookViewId="0">
      <selection sqref="A1:G1"/>
    </sheetView>
  </sheetViews>
  <sheetFormatPr defaultColWidth="8.6640625" defaultRowHeight="14.25" x14ac:dyDescent="0.45"/>
  <cols>
    <col min="1" max="1" width="20" customWidth="1"/>
    <col min="2" max="2" width="14.3984375" bestFit="1" customWidth="1"/>
    <col min="3" max="3" width="13.73046875" bestFit="1" customWidth="1"/>
    <col min="4" max="4" width="50" customWidth="1"/>
    <col min="5" max="6" width="35" customWidth="1"/>
    <col min="7" max="7" width="14" customWidth="1"/>
  </cols>
  <sheetData>
    <row r="1" spans="1:7" ht="30" customHeight="1" x14ac:dyDescent="0.45">
      <c r="A1" s="88" t="s">
        <v>146</v>
      </c>
      <c r="B1" s="86"/>
      <c r="C1" s="86"/>
      <c r="D1" s="86"/>
      <c r="E1" s="86"/>
      <c r="F1" s="86"/>
      <c r="G1" s="86"/>
    </row>
    <row r="2" spans="1:7" ht="15.75" customHeight="1" x14ac:dyDescent="0.45">
      <c r="A2" s="118" t="s">
        <v>147</v>
      </c>
      <c r="B2" s="86"/>
      <c r="C2" s="86"/>
      <c r="D2" s="86"/>
      <c r="E2" s="86"/>
      <c r="F2" s="86"/>
      <c r="G2" s="86"/>
    </row>
    <row r="4" spans="1:7" ht="18" customHeight="1" x14ac:dyDescent="0.45">
      <c r="A4" s="93" t="s">
        <v>148</v>
      </c>
      <c r="B4" s="86"/>
      <c r="C4" s="86"/>
      <c r="D4" s="86"/>
      <c r="E4" s="86"/>
      <c r="F4" s="86"/>
      <c r="G4" s="86"/>
    </row>
    <row r="5" spans="1:7" ht="18" customHeight="1" x14ac:dyDescent="0.45">
      <c r="A5" s="33" t="s">
        <v>149</v>
      </c>
      <c r="B5" s="116" t="str">
        <f>IF(ISBLANK('Pre-Audit Scoping'!D5),"[Complete Pre-Audit Scoping tab]",TRIM('Pre-Audit Scoping'!D5))</f>
        <v>Test</v>
      </c>
      <c r="C5" s="86"/>
      <c r="D5" s="86"/>
      <c r="E5" s="86"/>
      <c r="F5" s="86"/>
      <c r="G5" s="86"/>
    </row>
    <row r="6" spans="1:7" ht="18" customHeight="1" x14ac:dyDescent="0.45">
      <c r="A6" s="33" t="s">
        <v>28</v>
      </c>
      <c r="B6" s="116" t="str">
        <f>'Pre-Audit Scoping'!D10</f>
        <v>July 7-9 2026</v>
      </c>
      <c r="C6" s="86"/>
      <c r="D6" s="86"/>
      <c r="E6" s="86"/>
      <c r="F6" s="86"/>
      <c r="G6" s="86"/>
    </row>
    <row r="7" spans="1:7" ht="18" customHeight="1" x14ac:dyDescent="0.45">
      <c r="A7" s="33" t="s">
        <v>30</v>
      </c>
      <c r="B7" s="116" t="str">
        <f>'Pre-Audit Scoping'!D11</f>
        <v>Sara Wallon</v>
      </c>
      <c r="C7" s="86"/>
      <c r="D7" s="86"/>
      <c r="E7" s="86"/>
      <c r="F7" s="86"/>
      <c r="G7" s="86"/>
    </row>
    <row r="8" spans="1:7" ht="18" customHeight="1" x14ac:dyDescent="0.45">
      <c r="A8" s="33" t="s">
        <v>36</v>
      </c>
      <c r="B8" s="116" t="str">
        <f>'Pre-Audit Scoping'!D14</f>
        <v>Conn Maciel Carey LLP</v>
      </c>
      <c r="C8" s="86"/>
      <c r="D8" s="86"/>
      <c r="E8" s="86"/>
      <c r="F8" s="86"/>
      <c r="G8" s="86"/>
    </row>
    <row r="9" spans="1:7" ht="18" customHeight="1" x14ac:dyDescent="0.45">
      <c r="A9" s="33" t="s">
        <v>34</v>
      </c>
      <c r="B9" s="116" t="str">
        <f>'Pre-Audit Scoping'!D13</f>
        <v>Full OSHA GI Compliance Audit</v>
      </c>
      <c r="C9" s="86"/>
      <c r="D9" s="86"/>
      <c r="E9" s="86"/>
      <c r="F9" s="86"/>
      <c r="G9" s="86"/>
    </row>
    <row r="11" spans="1:7" ht="18" customHeight="1" x14ac:dyDescent="0.45">
      <c r="A11" s="93" t="s">
        <v>150</v>
      </c>
      <c r="B11" s="86"/>
      <c r="C11" s="86"/>
      <c r="D11" s="86"/>
      <c r="E11" s="86"/>
      <c r="F11" s="86"/>
      <c r="G11" s="86"/>
    </row>
    <row r="12" spans="1:7" ht="15.75" customHeight="1" x14ac:dyDescent="0.45">
      <c r="A12" s="34" t="s">
        <v>151</v>
      </c>
      <c r="B12" s="34" t="s">
        <v>152</v>
      </c>
      <c r="C12" s="34" t="s">
        <v>153</v>
      </c>
      <c r="D12" s="34" t="s">
        <v>154</v>
      </c>
      <c r="E12" s="34" t="s">
        <v>155</v>
      </c>
      <c r="F12" s="34" t="s">
        <v>156</v>
      </c>
      <c r="G12" s="34" t="s">
        <v>157</v>
      </c>
    </row>
    <row r="13" spans="1:7" ht="39.75" customHeight="1" x14ac:dyDescent="0.45">
      <c r="A13" s="35">
        <f>IFERROR(('Confined Space'!B8+PPE!B8+'Walking &amp; Working Surfaces'!B8+Recordkeeping!B8+LOTO!B8+'Egress &amp; Emergency Action'!B8+'Fire Protection &amp; Alarms'!B8+'Machine Guarding'!B8+'Electrical Safety'!B8+'Hand &amp; Power Tools'!B8+'Hazard Communication'!B8+'Forklifts &amp; Materials'!B8+'Cranes, Hoists &amp; Rigging'!B8+'Hazardous Materials'!B8+'Occ. Health &amp; Noise'!B8+'Medical &amp; First Aid'!B8+'Welding &amp; Hot Work'!B8+'BBP &amp; Sanitation'!B8)/('Confined Space'!C8+PPE!C8+'Walking &amp; Working Surfaces'!C8+Recordkeeping!C8+LOTO!C8+'Egress &amp; Emergency Action'!C8+'Fire Protection &amp; Alarms'!C8+'Machine Guarding'!C8+'Electrical Safety'!C8+'Hand &amp; Power Tools'!C8+'Hazard Communication'!C8+'Forklifts &amp; Materials'!C8+'Cranes, Hoists &amp; Rigging'!C8+'Hazardous Materials'!C8+'Occ. Health &amp; Noise'!C8+'Medical &amp; First Aid'!C8+'Welding &amp; Hot Work'!C8+'BBP &amp; Sanitation'!C8),0)</f>
        <v>4.646559849198869E-2</v>
      </c>
      <c r="B13" s="15" t="str">
        <f>IF((IFERROR(('Confined Space'!B8+PPE!B8+'Walking &amp; Working Surfaces'!B8+Recordkeeping!B8+LOTO!B8+'Egress &amp; Emergency Action'!B8+'Fire Protection &amp; Alarms'!B8+'Machine Guarding'!B8+'Electrical Safety'!B8+'Hand &amp; Power Tools'!B8+'Hazard Communication'!B8+'Forklifts &amp; Materials'!B8+'Cranes, Hoists &amp; Rigging'!B8+'Hazardous Materials'!B8+'Occ. Health &amp; Noise'!B8+'Medical &amp; First Aid'!B8+'Welding &amp; Hot Work'!B8+'BBP &amp; Sanitation'!B8)/('Confined Space'!C8+PPE!C8+'Walking &amp; Working Surfaces'!C8+Recordkeeping!C8+LOTO!C8+'Egress &amp; Emergency Action'!C8+'Fire Protection &amp; Alarms'!C8+'Machine Guarding'!C8+'Electrical Safety'!C8+'Hand &amp; Power Tools'!C8+'Hazard Communication'!C8+'Forklifts &amp; Materials'!C8+'Cranes, Hoists &amp; Rigging'!C8+'Hazardous Materials'!C8+'Occ. Health &amp; Noise'!C8+'Medical &amp; First Aid'!C8+'Welding &amp; Hot Work'!C8+'BBP &amp; Sanitation'!C8),0))&gt;=0.99,"Excellence Leader",IF((IFERROR(('Confined Space'!B8+PPE!B8+'Walking &amp; Working Surfaces'!B8+Recordkeeping!B8+LOTO!B8+'Egress &amp; Emergency Action'!B8+'Fire Protection &amp; Alarms'!B8+'Machine Guarding'!B8+'Electrical Safety'!B8+'Hand &amp; Power Tools'!B8+'Hazard Communication'!B8+'Forklifts &amp; Materials'!B8+'Cranes, Hoists &amp; Rigging'!B8+'Hazardous Materials'!B8+'Occ. Health &amp; Noise'!B8+'Medical &amp; First Aid'!B8+'Welding &amp; Hot Work'!B8+'BBP &amp; Sanitation'!B8)/('Confined Space'!C8+PPE!C8+'Walking &amp; Working Surfaces'!C8+Recordkeeping!C8+LOTO!C8+'Egress &amp; Emergency Action'!C8+'Fire Protection &amp; Alarms'!C8+'Machine Guarding'!C8+'Electrical Safety'!C8+'Hand &amp; Power Tools'!C8+'Hazard Communication'!C8+'Forklifts &amp; Materials'!C8+'Cranes, Hoists &amp; Rigging'!C8+'Hazardous Materials'!C8+'Occ. Health &amp; Noise'!C8+'Medical &amp; First Aid'!C8+'Welding &amp; Hot Work'!C8+'BBP &amp; Sanitation'!C8),0))&gt;=0.9,"Gold",IF((IFERROR(('Confined Space'!B8+PPE!B8+'Walking &amp; Working Surfaces'!B8+Recordkeeping!B8+LOTO!B8+'Egress &amp; Emergency Action'!B8+'Fire Protection &amp; Alarms'!B8+'Machine Guarding'!B8+'Electrical Safety'!B8+'Hand &amp; Power Tools'!B8+'Hazard Communication'!B8+'Forklifts &amp; Materials'!B8+'Cranes, Hoists &amp; Rigging'!B8+'Hazardous Materials'!B8+'Occ. Health &amp; Noise'!B8+'Medical &amp; First Aid'!B8+'Welding &amp; Hot Work'!B8+'BBP &amp; Sanitation'!B8)/('Confined Space'!C8+PPE!C8+'Walking &amp; Working Surfaces'!C8+Recordkeeping!C8+LOTO!C8+'Egress &amp; Emergency Action'!C8+'Fire Protection &amp; Alarms'!C8+'Machine Guarding'!C8+'Electrical Safety'!C8+'Hand &amp; Power Tools'!C8+'Hazard Communication'!C8+'Forklifts &amp; Materials'!C8+'Cranes, Hoists &amp; Rigging'!C8+'Hazardous Materials'!C8+'Occ. Health &amp; Noise'!C8+'Medical &amp; First Aid'!C8+'Welding &amp; Hot Work'!C8+'BBP &amp; Sanitation'!C8),0))&gt;=0.8,"Silver",IF((IFERROR(('Confined Space'!B8+PPE!B8+'Walking &amp; Working Surfaces'!B8+Recordkeeping!B8+LOTO!B8+'Egress &amp; Emergency Action'!B8+'Fire Protection &amp; Alarms'!B8+'Machine Guarding'!B8+'Electrical Safety'!B8+'Hand &amp; Power Tools'!B8+'Hazard Communication'!B8+'Forklifts &amp; Materials'!B8+'Cranes, Hoists &amp; Rigging'!B8+'Hazardous Materials'!B8+'Occ. Health &amp; Noise'!B8+'Medical &amp; First Aid'!B8+'Welding &amp; Hot Work'!B8+'BBP &amp; Sanitation'!B8)/('Confined Space'!C8+PPE!C8+'Walking &amp; Working Surfaces'!C8+Recordkeeping!C8+LOTO!C8+'Egress &amp; Emergency Action'!C8+'Fire Protection &amp; Alarms'!C8+'Machine Guarding'!C8+'Electrical Safety'!C8+'Hand &amp; Power Tools'!C8+'Hazard Communication'!C8+'Forklifts &amp; Materials'!C8+'Cranes, Hoists &amp; Rigging'!C8+'Hazardous Materials'!C8+'Occ. Health &amp; Noise'!C8+'Medical &amp; First Aid'!C8+'Welding &amp; Hot Work'!C8+'BBP &amp; Sanitation'!C8),0))&gt;=0.51,"Bronze","Developing"))))</f>
        <v>Developing</v>
      </c>
      <c r="C13" s="36">
        <v>18</v>
      </c>
      <c r="D13" s="36">
        <f>COUNTA(DataPool!E2:E288)-COUNTIF(DataPool!E2:E288,"Select rating")</f>
        <v>24</v>
      </c>
      <c r="E13" s="37">
        <f>COUNTA(DataPool!E2:E288)-COUNTIF(DataPool!E2:E288,"Select rating")-COUNTIF(DataPool!E2:E288,"Not Applicable")</f>
        <v>20</v>
      </c>
      <c r="F13" s="38">
        <f>COUNTIF(DataPool!E2:E288,"High")+COUNTIF(DataPool!E2:E288,"Very High")</f>
        <v>7</v>
      </c>
      <c r="G13" s="39">
        <f>SUMPRODUCT((DataPool!E2:E288="High")+(DataPool!E2:E288="Very High")&gt;0)</f>
        <v>0</v>
      </c>
    </row>
    <row r="14" spans="1:7" ht="21.75" customHeight="1" x14ac:dyDescent="0.45">
      <c r="A14" s="40" t="str">
        <f>COUNTIF(DataPool!E2:E288,"Best Practice")&amp;" Best Practice"</f>
        <v>3 Best Practice</v>
      </c>
      <c r="B14" s="41" t="str">
        <f>COUNTIF(DataPool!E2:E288,"Verified")&amp;" Verified"</f>
        <v>3 Verified</v>
      </c>
      <c r="C14" s="42" t="str">
        <f>COUNTIF(DataPool!E2:E288,"Low")&amp;" Low"</f>
        <v>4 Low</v>
      </c>
      <c r="D14" s="43" t="str">
        <f>COUNTIF(DataPool!E2:E288,"Moderate")&amp;" Moderate"</f>
        <v>3 Moderate</v>
      </c>
      <c r="E14" s="44" t="str">
        <f>COUNTIF(DataPool!E2:E288,"High")&amp;" High"</f>
        <v>3 High</v>
      </c>
      <c r="F14" s="45" t="str">
        <f>COUNTIF(DataPool!E2:E288,"Very High")&amp;" Very High"</f>
        <v>4 Very High</v>
      </c>
      <c r="G14" s="46" t="str">
        <f>COUNTIF(DataPool!E2:E288,"Not Applicable")&amp;" Not Applicable"</f>
        <v>4 Not Applicable</v>
      </c>
    </row>
    <row r="16" spans="1:7" ht="18" customHeight="1" x14ac:dyDescent="0.45">
      <c r="A16" s="93" t="s">
        <v>100</v>
      </c>
      <c r="B16" s="86"/>
      <c r="C16" s="86"/>
      <c r="D16" s="86"/>
      <c r="E16" s="86"/>
      <c r="F16" s="86"/>
      <c r="G16" s="86"/>
    </row>
    <row r="17" spans="1:7" ht="15.75" customHeight="1" x14ac:dyDescent="0.45">
      <c r="A17" s="3" t="s">
        <v>158</v>
      </c>
      <c r="B17" s="3" t="s">
        <v>159</v>
      </c>
      <c r="C17" s="3" t="s">
        <v>160</v>
      </c>
      <c r="D17" s="3" t="s">
        <v>161</v>
      </c>
      <c r="E17" s="3" t="s">
        <v>162</v>
      </c>
      <c r="F17" s="3" t="s">
        <v>163</v>
      </c>
      <c r="G17" s="3" t="s">
        <v>164</v>
      </c>
    </row>
    <row r="18" spans="1:7" ht="15.75" customHeight="1" x14ac:dyDescent="0.45">
      <c r="A18" s="47" t="s">
        <v>165</v>
      </c>
      <c r="B18" s="48">
        <f>'Confined Space'!B8</f>
        <v>98.6</v>
      </c>
      <c r="C18" s="48">
        <f>'Confined Space'!C8</f>
        <v>160</v>
      </c>
      <c r="D18" s="49">
        <f>'Confined Space'!D8</f>
        <v>0.61624999999999996</v>
      </c>
      <c r="E18" s="48" t="str">
        <f>IF('Confined Space'!D8="N/A","N/A",IF('Confined Space'!D8&gt;=0.99,"Excellence Leader",IF('Confined Space'!D8&gt;=0.9,"Gold",IF('Confined Space'!D8&gt;=0.8,"Silver",IF('Confined Space'!D8&gt;=0.51,"Bronze","Developing")))))</f>
        <v>Bronze</v>
      </c>
      <c r="F18" s="48">
        <f>COUNTIF('Confined Space'!E19:E48,"Low")+COUNTIF('Confined Space'!E19:E48,"Moderate")+COUNTIF('Confined Space'!E19:E48,"High")+COUNTIF('Confined Space'!E19:E48,"Very High")</f>
        <v>14</v>
      </c>
    </row>
    <row r="19" spans="1:7" ht="15.75" customHeight="1" x14ac:dyDescent="0.45">
      <c r="A19" s="47" t="s">
        <v>102</v>
      </c>
      <c r="B19" s="48">
        <f>PPE!B8</f>
        <v>0</v>
      </c>
      <c r="C19" s="48">
        <f>PPE!C8</f>
        <v>193</v>
      </c>
      <c r="D19" s="49">
        <f>PPE!D8</f>
        <v>0</v>
      </c>
      <c r="E19" s="48" t="str">
        <f>IF(PPE!D8="N/A","N/A",IF(PPE!D8&gt;=0.99,"Excellence Leader",IF(PPE!D8&gt;=0.9,"Gold",IF(PPE!D8&gt;=0.8,"Silver",IF(PPE!D8&gt;=0.51,"Bronze","Developing")))))</f>
        <v>Developing</v>
      </c>
      <c r="F19" s="48">
        <f>COUNTIF(PPE!E19:E51,"Low")+COUNTIF(PPE!E19:E51,"Moderate")+COUNTIF(PPE!E19:E51,"High")+COUNTIF(PPE!E19:E51,"Very High")</f>
        <v>0</v>
      </c>
    </row>
    <row r="20" spans="1:7" ht="15.75" customHeight="1" x14ac:dyDescent="0.45">
      <c r="A20" s="47" t="s">
        <v>166</v>
      </c>
      <c r="B20" s="48">
        <f>'Walking &amp; Working Surfaces'!B8</f>
        <v>0</v>
      </c>
      <c r="C20" s="48">
        <f>'Walking &amp; Working Surfaces'!C8</f>
        <v>145</v>
      </c>
      <c r="D20" s="49">
        <f>'Walking &amp; Working Surfaces'!D8</f>
        <v>0</v>
      </c>
      <c r="E20" s="48" t="str">
        <f>IF('Walking &amp; Working Surfaces'!D8="N/A","N/A",IF('Walking &amp; Working Surfaces'!D8&gt;=0.99,"Excellence Leader",IF('Walking &amp; Working Surfaces'!D8&gt;=0.9,"Gold",IF('Walking &amp; Working Surfaces'!D8&gt;=0.8,"Silver",IF('Walking &amp; Working Surfaces'!D8&gt;=0.51,"Bronze","Developing")))))</f>
        <v>Developing</v>
      </c>
      <c r="F20" s="48">
        <f>COUNTIF('Walking &amp; Working Surfaces'!E19:E48,"Low")+COUNTIF('Walking &amp; Working Surfaces'!E19:E48,"Moderate")+COUNTIF('Walking &amp; Working Surfaces'!E19:E48,"High")+COUNTIF('Walking &amp; Working Surfaces'!E19:E48,"Very High")</f>
        <v>0</v>
      </c>
    </row>
    <row r="21" spans="1:7" ht="15.75" customHeight="1" x14ac:dyDescent="0.45">
      <c r="A21" s="47" t="s">
        <v>104</v>
      </c>
      <c r="B21" s="48">
        <f>Recordkeeping!B8</f>
        <v>0</v>
      </c>
      <c r="C21" s="48">
        <f>Recordkeeping!C8</f>
        <v>225</v>
      </c>
      <c r="D21" s="49">
        <f>Recordkeeping!D8</f>
        <v>0</v>
      </c>
      <c r="E21" s="48" t="str">
        <f>IF(Recordkeeping!D8="N/A","N/A",IF(Recordkeeping!D8&gt;=0.99,"Excellence Leader",IF(Recordkeeping!D8&gt;=0.9,"Gold",IF(Recordkeeping!D8&gt;=0.8,"Silver",IF(Recordkeeping!D8&gt;=0.51,"Bronze","Developing")))))</f>
        <v>Developing</v>
      </c>
      <c r="F21" s="48">
        <f>COUNTIF(Recordkeeping!E19:E59,"Low")+COUNTIF(Recordkeeping!E19:E59,"Moderate")+COUNTIF(Recordkeeping!E19:E59,"High")+COUNTIF(Recordkeeping!E19:E59,"Very High")</f>
        <v>0</v>
      </c>
    </row>
    <row r="22" spans="1:7" ht="15.75" customHeight="1" x14ac:dyDescent="0.45">
      <c r="A22" s="47" t="s">
        <v>105</v>
      </c>
      <c r="B22" s="48">
        <f>LOTO!B8</f>
        <v>0</v>
      </c>
      <c r="C22" s="48">
        <f>LOTO!C8</f>
        <v>142</v>
      </c>
      <c r="D22" s="49">
        <f>LOTO!D8</f>
        <v>0</v>
      </c>
      <c r="E22" s="48" t="str">
        <f>IF(LOTO!D8="N/A","N/A",IF(LOTO!D8&gt;=0.99,"Excellence Leader",IF(LOTO!D8&gt;=0.9,"Gold",IF(LOTO!D8&gt;=0.8,"Silver",IF(LOTO!D8&gt;=0.51,"Bronze","Developing")))))</f>
        <v>Developing</v>
      </c>
      <c r="F22" s="48">
        <f>COUNTIF(LOTO!E19:E36,"Low")+COUNTIF(LOTO!E19:E36,"Moderate")+COUNTIF(LOTO!E19:E36,"High")+COUNTIF(LOTO!E19:E36,"Very High")</f>
        <v>0</v>
      </c>
    </row>
    <row r="23" spans="1:7" ht="15.75" customHeight="1" x14ac:dyDescent="0.45">
      <c r="A23" s="47" t="s">
        <v>167</v>
      </c>
      <c r="B23" s="48">
        <f>'Egress &amp; Emergency Action'!B8</f>
        <v>0</v>
      </c>
      <c r="C23" s="48">
        <f>'Egress &amp; Emergency Action'!C8</f>
        <v>147</v>
      </c>
      <c r="D23" s="49">
        <f>'Egress &amp; Emergency Action'!D8</f>
        <v>0</v>
      </c>
      <c r="E23" s="48" t="str">
        <f>IF('Egress &amp; Emergency Action'!D8="N/A","N/A",IF('Egress &amp; Emergency Action'!D8&gt;=0.99,"Excellence Leader",IF('Egress &amp; Emergency Action'!D8&gt;=0.9,"Gold",IF('Egress &amp; Emergency Action'!D8&gt;=0.8,"Silver",IF('Egress &amp; Emergency Action'!D8&gt;=0.51,"Bronze","Developing")))))</f>
        <v>Developing</v>
      </c>
      <c r="F23" s="48">
        <f>COUNTIF('Egress &amp; Emergency Action'!E19:E40,"Low")+COUNTIF('Egress &amp; Emergency Action'!E19:E40,"Moderate")+COUNTIF('Egress &amp; Emergency Action'!E19:E40,"High")+COUNTIF('Egress &amp; Emergency Action'!E19:E40,"Very High")</f>
        <v>0</v>
      </c>
    </row>
    <row r="24" spans="1:7" ht="15.75" customHeight="1" x14ac:dyDescent="0.45">
      <c r="A24" s="47" t="s">
        <v>168</v>
      </c>
      <c r="B24" s="48">
        <f>'Fire Protection &amp; Alarms'!B8</f>
        <v>0</v>
      </c>
      <c r="C24" s="48">
        <f>'Fire Protection &amp; Alarms'!C8</f>
        <v>124</v>
      </c>
      <c r="D24" s="49">
        <f>'Fire Protection &amp; Alarms'!D8</f>
        <v>0</v>
      </c>
      <c r="E24" s="48" t="str">
        <f>IF('Fire Protection &amp; Alarms'!D8="N/A","N/A",IF('Fire Protection &amp; Alarms'!D8&gt;=0.99,"Excellence Leader",IF('Fire Protection &amp; Alarms'!D8&gt;=0.9,"Gold",IF('Fire Protection &amp; Alarms'!D8&gt;=0.8,"Silver",IF('Fire Protection &amp; Alarms'!D8&gt;=0.51,"Bronze","Developing")))))</f>
        <v>Developing</v>
      </c>
      <c r="F24" s="48">
        <f>COUNTIF('Fire Protection &amp; Alarms'!E19:E40,"Low")+COUNTIF('Fire Protection &amp; Alarms'!E19:E40,"Moderate")+COUNTIF('Fire Protection &amp; Alarms'!E19:E40,"High")+COUNTIF('Fire Protection &amp; Alarms'!E19:E40,"Very High")</f>
        <v>0</v>
      </c>
    </row>
    <row r="25" spans="1:7" ht="15.75" customHeight="1" x14ac:dyDescent="0.45">
      <c r="A25" s="47" t="s">
        <v>169</v>
      </c>
      <c r="B25" s="48">
        <f>'Machine Guarding'!B8</f>
        <v>0</v>
      </c>
      <c r="C25" s="48">
        <f>'Machine Guarding'!C8</f>
        <v>91</v>
      </c>
      <c r="D25" s="49">
        <f>'Machine Guarding'!D8</f>
        <v>0</v>
      </c>
      <c r="E25" s="48" t="str">
        <f>IF('Machine Guarding'!D8="N/A","N/A",IF('Machine Guarding'!D8&gt;=0.99,"Excellence Leader",IF('Machine Guarding'!D8&gt;=0.9,"Gold",IF('Machine Guarding'!D8&gt;=0.8,"Silver",IF('Machine Guarding'!D8&gt;=0.51,"Bronze","Developing")))))</f>
        <v>Developing</v>
      </c>
      <c r="F25" s="48">
        <f>COUNTIF('Machine Guarding'!E19:E32,"Low")+COUNTIF('Machine Guarding'!E19:E32,"Moderate")+COUNTIF('Machine Guarding'!E19:E32,"High")+COUNTIF('Machine Guarding'!E19:E32,"Very High")</f>
        <v>0</v>
      </c>
    </row>
    <row r="26" spans="1:7" ht="15.75" customHeight="1" x14ac:dyDescent="0.45">
      <c r="A26" s="47" t="s">
        <v>170</v>
      </c>
      <c r="B26" s="48">
        <f>'Electrical Safety'!B8</f>
        <v>0</v>
      </c>
      <c r="C26" s="48">
        <f>'Electrical Safety'!C8</f>
        <v>134</v>
      </c>
      <c r="D26" s="49">
        <f>'Electrical Safety'!D8</f>
        <v>0</v>
      </c>
      <c r="E26" s="48" t="str">
        <f>IF('Electrical Safety'!D8="N/A","N/A",IF('Electrical Safety'!D8&gt;=0.99,"Excellence Leader",IF('Electrical Safety'!D8&gt;=0.9,"Gold",IF('Electrical Safety'!D8&gt;=0.8,"Silver",IF('Electrical Safety'!D8&gt;=0.51,"Bronze","Developing")))))</f>
        <v>Developing</v>
      </c>
      <c r="F26" s="48">
        <f>COUNTIF('Electrical Safety'!E19:E38,"Low")+COUNTIF('Electrical Safety'!E19:E38,"Moderate")+COUNTIF('Electrical Safety'!E19:E38,"High")+COUNTIF('Electrical Safety'!E19:E38,"Very High")</f>
        <v>0</v>
      </c>
    </row>
    <row r="27" spans="1:7" ht="15.75" customHeight="1" x14ac:dyDescent="0.45">
      <c r="A27" s="47" t="s">
        <v>171</v>
      </c>
      <c r="B27" s="48">
        <f>'Hand &amp; Power Tools'!B8</f>
        <v>0</v>
      </c>
      <c r="C27" s="48">
        <f>'Hand &amp; Power Tools'!C8</f>
        <v>97</v>
      </c>
      <c r="D27" s="49">
        <f>'Hand &amp; Power Tools'!D8</f>
        <v>0</v>
      </c>
      <c r="E27" s="48" t="str">
        <f>IF('Hand &amp; Power Tools'!D8="N/A","N/A",IF('Hand &amp; Power Tools'!D8&gt;=0.99,"Excellence Leader",IF('Hand &amp; Power Tools'!D8&gt;=0.9,"Gold",IF('Hand &amp; Power Tools'!D8&gt;=0.8,"Silver",IF('Hand &amp; Power Tools'!D8&gt;=0.51,"Bronze","Developing")))))</f>
        <v>Developing</v>
      </c>
      <c r="F27" s="48">
        <f>COUNTIF('Hand &amp; Power Tools'!E19:E36,"Low")+COUNTIF('Hand &amp; Power Tools'!E19:E36,"Moderate")+COUNTIF('Hand &amp; Power Tools'!E19:E36,"High")+COUNTIF('Hand &amp; Power Tools'!E19:E36,"Very High")</f>
        <v>0</v>
      </c>
    </row>
    <row r="28" spans="1:7" ht="15.75" customHeight="1" x14ac:dyDescent="0.45">
      <c r="A28" s="47" t="s">
        <v>172</v>
      </c>
      <c r="B28" s="48">
        <f>'Hazard Communication'!B8</f>
        <v>0</v>
      </c>
      <c r="C28" s="48">
        <f>'Hazard Communication'!C8</f>
        <v>84</v>
      </c>
      <c r="D28" s="49">
        <f>'Hazard Communication'!D8</f>
        <v>0</v>
      </c>
      <c r="E28" s="48" t="str">
        <f>IF('Hazard Communication'!D8="N/A","N/A",IF('Hazard Communication'!D8&gt;=0.99,"Excellence Leader",IF('Hazard Communication'!D8&gt;=0.9,"Gold",IF('Hazard Communication'!D8&gt;=0.8,"Silver",IF('Hazard Communication'!D8&gt;=0.51,"Bronze","Developing")))))</f>
        <v>Developing</v>
      </c>
      <c r="F28" s="48">
        <f>COUNTIF('Hazard Communication'!E19:E32,"Low")+COUNTIF('Hazard Communication'!E19:E32,"Moderate")+COUNTIF('Hazard Communication'!E19:E32,"High")+COUNTIF('Hazard Communication'!E19:E32,"Very High")</f>
        <v>0</v>
      </c>
    </row>
    <row r="29" spans="1:7" ht="15.75" customHeight="1" x14ac:dyDescent="0.45">
      <c r="A29" s="47" t="s">
        <v>121</v>
      </c>
      <c r="B29" s="48">
        <f>'Forklifts &amp; Materials'!B8</f>
        <v>0</v>
      </c>
      <c r="C29" s="48">
        <f>'Forklifts &amp; Materials'!C8</f>
        <v>88</v>
      </c>
      <c r="D29" s="49">
        <f>'Forklifts &amp; Materials'!D8</f>
        <v>0</v>
      </c>
      <c r="E29" s="48" t="str">
        <f>IF('Forklifts &amp; Materials'!D8="N/A","N/A",IF('Forklifts &amp; Materials'!D8&gt;=0.99,"Excellence Leader",IF('Forklifts &amp; Materials'!D8&gt;=0.9,"Gold",IF('Forklifts &amp; Materials'!D8&gt;=0.8,"Silver",IF('Forklifts &amp; Materials'!D8&gt;=0.51,"Bronze","Developing")))))</f>
        <v>Developing</v>
      </c>
      <c r="F29" s="48">
        <f>COUNTIF('Forklifts &amp; Materials'!E19:E33,"Low")+COUNTIF('Forklifts &amp; Materials'!E19:E33,"Moderate")+COUNTIF('Forklifts &amp; Materials'!E19:E33,"High")+COUNTIF('Forklifts &amp; Materials'!E19:E33,"Very High")</f>
        <v>0</v>
      </c>
    </row>
    <row r="30" spans="1:7" ht="15.75" customHeight="1" x14ac:dyDescent="0.45">
      <c r="A30" s="47" t="s">
        <v>173</v>
      </c>
      <c r="B30" s="48">
        <f>'Cranes, Hoists &amp; Rigging'!B8</f>
        <v>0</v>
      </c>
      <c r="C30" s="48">
        <f>'Cranes, Hoists &amp; Rigging'!C8</f>
        <v>88</v>
      </c>
      <c r="D30" s="49">
        <f>'Cranes, Hoists &amp; Rigging'!D8</f>
        <v>0</v>
      </c>
      <c r="E30" s="48" t="str">
        <f>IF('Cranes, Hoists &amp; Rigging'!D8="N/A","N/A",IF('Cranes, Hoists &amp; Rigging'!D8&gt;=0.99,"Excellence Leader",IF('Cranes, Hoists &amp; Rigging'!D8&gt;=0.9,"Gold",IF('Cranes, Hoists &amp; Rigging'!D8&gt;=0.8,"Silver",IF('Cranes, Hoists &amp; Rigging'!D8&gt;=0.51,"Bronze","Developing")))))</f>
        <v>Developing</v>
      </c>
      <c r="F30" s="48">
        <f>COUNTIF('Cranes, Hoists &amp; Rigging'!E19:E31,"Low")+COUNTIF('Cranes, Hoists &amp; Rigging'!E19:E31,"Moderate")+COUNTIF('Cranes, Hoists &amp; Rigging'!E19:E31,"High")+COUNTIF('Cranes, Hoists &amp; Rigging'!E19:E31,"Very High")</f>
        <v>0</v>
      </c>
    </row>
    <row r="31" spans="1:7" ht="15.75" customHeight="1" x14ac:dyDescent="0.45">
      <c r="A31" s="47" t="s">
        <v>174</v>
      </c>
      <c r="B31" s="48">
        <f>'Hazardous Materials'!B8</f>
        <v>0</v>
      </c>
      <c r="C31" s="48">
        <f>'Hazardous Materials'!C8</f>
        <v>84</v>
      </c>
      <c r="D31" s="49">
        <f>'Hazardous Materials'!D8</f>
        <v>0</v>
      </c>
      <c r="E31" s="48" t="str">
        <f>IF('Hazardous Materials'!D8="N/A","N/A",IF('Hazardous Materials'!D8&gt;=0.99,"Excellence Leader",IF('Hazardous Materials'!D8&gt;=0.9,"Gold",IF('Hazardous Materials'!D8&gt;=0.8,"Silver",IF('Hazardous Materials'!D8&gt;=0.51,"Bronze","Developing")))))</f>
        <v>Developing</v>
      </c>
      <c r="F31" s="48">
        <f>COUNTIF('Hazardous Materials'!E19:E31,"Low")+COUNTIF('Hazardous Materials'!E19:E31,"Moderate")+COUNTIF('Hazardous Materials'!E19:E31,"High")+COUNTIF('Hazardous Materials'!E19:E31,"Very High")</f>
        <v>0</v>
      </c>
    </row>
    <row r="32" spans="1:7" ht="15.75" customHeight="1" x14ac:dyDescent="0.45">
      <c r="A32" s="47" t="s">
        <v>175</v>
      </c>
      <c r="B32" s="48">
        <f>'Occ. Health &amp; Noise'!B8</f>
        <v>0</v>
      </c>
      <c r="C32" s="48">
        <f>'Occ. Health &amp; Noise'!C8</f>
        <v>80</v>
      </c>
      <c r="D32" s="49">
        <f>'Occ. Health &amp; Noise'!D8</f>
        <v>0</v>
      </c>
      <c r="E32" s="48" t="str">
        <f>IF('Occ. Health &amp; Noise'!D8="N/A","N/A",IF('Occ. Health &amp; Noise'!D8&gt;=0.99,"Excellence Leader",IF('Occ. Health &amp; Noise'!D8&gt;=0.9,"Gold",IF('Occ. Health &amp; Noise'!D8&gt;=0.8,"Silver",IF('Occ. Health &amp; Noise'!D8&gt;=0.51,"Bronze","Developing")))))</f>
        <v>Developing</v>
      </c>
      <c r="F32" s="48">
        <f>COUNTIF('Occ. Health &amp; Noise'!E19:E29,"Low")+COUNTIF('Occ. Health &amp; Noise'!E19:E29,"Moderate")+COUNTIF('Occ. Health &amp; Noise'!E19:E29,"High")+COUNTIF('Occ. Health &amp; Noise'!E19:E29,"Very High")</f>
        <v>0</v>
      </c>
    </row>
    <row r="33" spans="1:7" ht="15.75" customHeight="1" x14ac:dyDescent="0.45">
      <c r="A33" s="47" t="s">
        <v>176</v>
      </c>
      <c r="B33" s="48">
        <f>'Medical &amp; First Aid'!B8</f>
        <v>0</v>
      </c>
      <c r="C33" s="48">
        <f>'Medical &amp; First Aid'!C8</f>
        <v>68</v>
      </c>
      <c r="D33" s="49">
        <f>'Medical &amp; First Aid'!D8</f>
        <v>0</v>
      </c>
      <c r="E33" s="48" t="str">
        <f>IF('Medical &amp; First Aid'!D8="N/A","N/A",IF('Medical &amp; First Aid'!D8&gt;=0.99,"Excellence Leader",IF('Medical &amp; First Aid'!D8&gt;=0.9,"Gold",IF('Medical &amp; First Aid'!D8&gt;=0.8,"Silver",IF('Medical &amp; First Aid'!D8&gt;=0.51,"Bronze","Developing")))))</f>
        <v>Developing</v>
      </c>
      <c r="F33" s="48">
        <f>COUNTIF('Medical &amp; First Aid'!E19:E27,"Low")+COUNTIF('Medical &amp; First Aid'!E19:E27,"Moderate")+COUNTIF('Medical &amp; First Aid'!E19:E27,"High")+COUNTIF('Medical &amp; First Aid'!E19:E27,"Very High")</f>
        <v>0</v>
      </c>
    </row>
    <row r="34" spans="1:7" ht="15.75" customHeight="1" x14ac:dyDescent="0.45">
      <c r="A34" s="47" t="s">
        <v>177</v>
      </c>
      <c r="B34" s="48">
        <f>'Welding &amp; Hot Work'!B8</f>
        <v>0</v>
      </c>
      <c r="C34" s="48">
        <f>'Welding &amp; Hot Work'!C8</f>
        <v>76</v>
      </c>
      <c r="D34" s="49">
        <f>'Welding &amp; Hot Work'!D8</f>
        <v>0</v>
      </c>
      <c r="E34" s="48" t="str">
        <f>IF('Welding &amp; Hot Work'!D8="N/A","N/A",IF('Welding &amp; Hot Work'!D8&gt;=0.99,"Excellence Leader",IF('Welding &amp; Hot Work'!D8&gt;=0.9,"Gold",IF('Welding &amp; Hot Work'!D8&gt;=0.8,"Silver",IF('Welding &amp; Hot Work'!D8&gt;=0.51,"Bronze","Developing")))))</f>
        <v>Developing</v>
      </c>
      <c r="F34" s="48">
        <f>COUNTIF('Welding &amp; Hot Work'!E19:E30,"Low")+COUNTIF('Welding &amp; Hot Work'!E19:E30,"Moderate")+COUNTIF('Welding &amp; Hot Work'!E19:E30,"High")+COUNTIF('Welding &amp; Hot Work'!E19:E30,"Very High")</f>
        <v>0</v>
      </c>
    </row>
    <row r="35" spans="1:7" ht="15.75" customHeight="1" x14ac:dyDescent="0.45">
      <c r="A35" s="47" t="s">
        <v>178</v>
      </c>
      <c r="B35" s="48">
        <f>'BBP &amp; Sanitation'!B8</f>
        <v>0</v>
      </c>
      <c r="C35" s="48">
        <f>'BBP &amp; Sanitation'!C8</f>
        <v>96</v>
      </c>
      <c r="D35" s="49">
        <f>'BBP &amp; Sanitation'!D8</f>
        <v>0</v>
      </c>
      <c r="E35" s="48" t="str">
        <f>IF('BBP &amp; Sanitation'!D8="N/A","N/A",IF('BBP &amp; Sanitation'!D8&gt;=0.99,"Excellence Leader",IF('BBP &amp; Sanitation'!D8&gt;=0.9,"Gold",IF('BBP &amp; Sanitation'!D8&gt;=0.8,"Silver",IF('BBP &amp; Sanitation'!D8&gt;=0.51,"Bronze","Developing")))))</f>
        <v>Developing</v>
      </c>
      <c r="F35" s="48">
        <f>COUNTIF('BBP &amp; Sanitation'!E19:E35,"Low")+COUNTIF('BBP &amp; Sanitation'!E19:E35,"Moderate")+COUNTIF('BBP &amp; Sanitation'!E19:E35,"High")+COUNTIF('BBP &amp; Sanitation'!E19:E35,"Very High")</f>
        <v>0</v>
      </c>
    </row>
    <row r="37" spans="1:7" ht="18" customHeight="1" x14ac:dyDescent="0.45">
      <c r="A37" s="93" t="s">
        <v>179</v>
      </c>
      <c r="B37" s="86"/>
      <c r="C37" s="86"/>
      <c r="D37" s="86"/>
      <c r="E37" s="86"/>
      <c r="F37" s="86"/>
      <c r="G37" s="86"/>
    </row>
    <row r="38" spans="1:7" ht="15.75" customHeight="1" x14ac:dyDescent="0.45">
      <c r="A38" s="117" t="s">
        <v>180</v>
      </c>
      <c r="B38" s="86"/>
      <c r="C38" s="86"/>
      <c r="D38" s="86"/>
      <c r="E38" s="86"/>
      <c r="F38" s="86"/>
      <c r="G38" s="86"/>
    </row>
    <row r="39" spans="1:7" ht="15.75" customHeight="1" x14ac:dyDescent="0.45">
      <c r="A39" s="50" t="s">
        <v>158</v>
      </c>
      <c r="B39" s="50" t="s">
        <v>4</v>
      </c>
      <c r="C39" s="50" t="s">
        <v>181</v>
      </c>
      <c r="D39" s="50" t="s">
        <v>182</v>
      </c>
      <c r="E39" s="50" t="s">
        <v>7</v>
      </c>
      <c r="F39" s="50" t="s">
        <v>8</v>
      </c>
      <c r="G39" s="50" t="s">
        <v>9</v>
      </c>
    </row>
    <row r="40" spans="1:7" ht="15.75" customHeight="1" x14ac:dyDescent="0.45">
      <c r="A40" s="51" t="s">
        <v>183</v>
      </c>
    </row>
  </sheetData>
  <mergeCells count="12">
    <mergeCell ref="A38:G38"/>
    <mergeCell ref="A16:G16"/>
    <mergeCell ref="A2:G2"/>
    <mergeCell ref="A11:G11"/>
    <mergeCell ref="B7:G7"/>
    <mergeCell ref="A37:G37"/>
    <mergeCell ref="B6:G6"/>
    <mergeCell ref="A1:G1"/>
    <mergeCell ref="B5:G5"/>
    <mergeCell ref="B9:G9"/>
    <mergeCell ref="A4:G4"/>
    <mergeCell ref="B8:G8"/>
  </mergeCells>
  <conditionalFormatting sqref="B13">
    <cfRule type="cellIs" dxfId="237" priority="2" operator="equal">
      <formula>"Excellence Leader"</formula>
    </cfRule>
    <cfRule type="cellIs" dxfId="236" priority="3" operator="equal">
      <formula>"Gold"</formula>
    </cfRule>
    <cfRule type="cellIs" dxfId="235" priority="4" operator="equal">
      <formula>"Silver"</formula>
    </cfRule>
    <cfRule type="cellIs" dxfId="234" priority="5" operator="equal">
      <formula>"Bronze"</formula>
    </cfRule>
    <cfRule type="cellIs" dxfId="233" priority="6" operator="equal">
      <formula>"Developing"</formula>
    </cfRule>
  </conditionalFormatting>
  <conditionalFormatting sqref="D40:D240">
    <cfRule type="cellIs" dxfId="232" priority="12" operator="equal">
      <formula>"Low"</formula>
    </cfRule>
    <cfRule type="cellIs" dxfId="231" priority="13" operator="equal">
      <formula>"Moderate"</formula>
    </cfRule>
    <cfRule type="cellIs" dxfId="230" priority="14" operator="equal">
      <formula>"High"</formula>
    </cfRule>
    <cfRule type="cellIs" dxfId="229" priority="15" operator="equal">
      <formula>"Very High"</formula>
    </cfRule>
  </conditionalFormatting>
  <conditionalFormatting sqref="E18:E35">
    <cfRule type="cellIs" dxfId="228" priority="7" operator="equal">
      <formula>"Excellence Leader"</formula>
    </cfRule>
    <cfRule type="cellIs" dxfId="227" priority="8" operator="equal">
      <formula>"Gold"</formula>
    </cfRule>
    <cfRule type="cellIs" dxfId="226" priority="9" operator="equal">
      <formula>"Silver"</formula>
    </cfRule>
    <cfRule type="cellIs" dxfId="225" priority="10" operator="equal">
      <formula>"Bronze"</formula>
    </cfRule>
    <cfRule type="cellIs" dxfId="224" priority="11" operator="equal">
      <formula>"Developing"</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5"/>
  <sheetViews>
    <sheetView workbookViewId="0">
      <selection sqref="A1:L1"/>
    </sheetView>
  </sheetViews>
  <sheetFormatPr defaultColWidth="8.6640625" defaultRowHeight="14.25" x14ac:dyDescent="0.45"/>
  <cols>
    <col min="1" max="1" width="18" customWidth="1"/>
    <col min="2" max="2" width="8" customWidth="1"/>
    <col min="3" max="3" width="14" customWidth="1"/>
    <col min="4" max="4" width="44" customWidth="1"/>
    <col min="5" max="6" width="35" customWidth="1"/>
    <col min="7" max="7" width="14" customWidth="1"/>
    <col min="8" max="8" width="30" customWidth="1"/>
    <col min="9" max="9" width="16" customWidth="1"/>
    <col min="10" max="10" width="14" customWidth="1"/>
    <col min="11" max="11" width="16" customWidth="1"/>
    <col min="12" max="13" width="14" customWidth="1"/>
  </cols>
  <sheetData>
    <row r="1" spans="1:13" ht="30" customHeight="1" x14ac:dyDescent="0.45">
      <c r="A1" s="88" t="s">
        <v>0</v>
      </c>
      <c r="B1" s="86"/>
      <c r="C1" s="86"/>
      <c r="D1" s="86"/>
      <c r="E1" s="86"/>
      <c r="F1" s="86"/>
      <c r="G1" s="86"/>
      <c r="H1" s="86"/>
      <c r="I1" s="86"/>
      <c r="J1" s="86"/>
      <c r="K1" s="86"/>
      <c r="L1" s="86"/>
    </row>
    <row r="2" spans="1:13" ht="15.75" customHeight="1" x14ac:dyDescent="0.45">
      <c r="A2" s="87" t="s">
        <v>1</v>
      </c>
      <c r="B2" s="86"/>
      <c r="C2" s="86"/>
      <c r="D2" s="86"/>
      <c r="E2" s="86"/>
      <c r="F2" s="86"/>
      <c r="G2" s="86"/>
      <c r="H2" s="86"/>
      <c r="I2" s="86"/>
      <c r="J2" s="86"/>
      <c r="K2" s="86"/>
      <c r="L2" s="86"/>
    </row>
    <row r="3" spans="1:13" ht="18" customHeight="1" x14ac:dyDescent="0.45">
      <c r="A3" s="85" t="s">
        <v>2</v>
      </c>
      <c r="B3" s="86"/>
      <c r="C3" s="86"/>
      <c r="D3" s="86"/>
      <c r="E3" s="86"/>
      <c r="F3" s="86"/>
      <c r="G3" s="86"/>
      <c r="H3" s="86"/>
      <c r="I3" s="86"/>
      <c r="J3" s="86"/>
      <c r="K3" s="86"/>
      <c r="L3" s="86"/>
    </row>
    <row r="5" spans="1:13" ht="19.5" customHeight="1" x14ac:dyDescent="0.45">
      <c r="A5" s="50" t="s">
        <v>3</v>
      </c>
      <c r="B5" s="50" t="s">
        <v>4</v>
      </c>
      <c r="C5" s="50" t="s">
        <v>5</v>
      </c>
      <c r="D5" s="50" t="s">
        <v>6</v>
      </c>
      <c r="E5" s="50" t="s">
        <v>7</v>
      </c>
      <c r="F5" s="50" t="s">
        <v>8</v>
      </c>
      <c r="G5" s="50" t="s">
        <v>9</v>
      </c>
      <c r="H5" s="50" t="s">
        <v>10</v>
      </c>
      <c r="I5" s="52" t="s">
        <v>11</v>
      </c>
      <c r="J5" s="52" t="s">
        <v>12</v>
      </c>
      <c r="K5" s="52" t="s">
        <v>13</v>
      </c>
      <c r="L5" s="52" t="s">
        <v>14</v>
      </c>
      <c r="M5" s="52" t="s">
        <v>15</v>
      </c>
    </row>
    <row r="6" spans="1:13" ht="26.25" customHeight="1" x14ac:dyDescent="0.45">
      <c r="A6" s="51" t="s">
        <v>16</v>
      </c>
      <c r="H6" s="53"/>
      <c r="I6" s="53"/>
      <c r="J6" s="53"/>
      <c r="K6" s="53"/>
      <c r="L6" s="53"/>
      <c r="M6" s="53"/>
    </row>
    <row r="7" spans="1:13" ht="15" customHeight="1" x14ac:dyDescent="0.45">
      <c r="H7" s="53"/>
      <c r="I7" s="53"/>
      <c r="J7" s="53"/>
      <c r="K7" s="53"/>
      <c r="L7" s="53"/>
      <c r="M7" s="53"/>
    </row>
    <row r="8" spans="1:13" ht="15" customHeight="1" x14ac:dyDescent="0.45">
      <c r="H8" s="53"/>
      <c r="I8" s="53"/>
      <c r="J8" s="53"/>
      <c r="K8" s="53"/>
      <c r="L8" s="53"/>
      <c r="M8" s="53"/>
    </row>
    <row r="9" spans="1:13" ht="15" customHeight="1" x14ac:dyDescent="0.45">
      <c r="H9" s="53"/>
      <c r="I9" s="53"/>
      <c r="J9" s="53"/>
      <c r="K9" s="53"/>
      <c r="L9" s="53"/>
      <c r="M9" s="53"/>
    </row>
    <row r="10" spans="1:13" ht="15" customHeight="1" x14ac:dyDescent="0.45">
      <c r="H10" s="53"/>
      <c r="I10" s="53"/>
      <c r="J10" s="53"/>
      <c r="K10" s="53"/>
      <c r="L10" s="53"/>
      <c r="M10" s="53"/>
    </row>
    <row r="11" spans="1:13" ht="15" customHeight="1" x14ac:dyDescent="0.45">
      <c r="H11" s="53"/>
      <c r="I11" s="53"/>
      <c r="J11" s="53"/>
      <c r="K11" s="53"/>
      <c r="L11" s="53"/>
      <c r="M11" s="53"/>
    </row>
    <row r="12" spans="1:13" ht="15" customHeight="1" x14ac:dyDescent="0.45">
      <c r="H12" s="53"/>
      <c r="I12" s="53"/>
      <c r="J12" s="53"/>
      <c r="K12" s="53"/>
      <c r="L12" s="53"/>
      <c r="M12" s="53"/>
    </row>
    <row r="13" spans="1:13" ht="15" customHeight="1" x14ac:dyDescent="0.45">
      <c r="H13" s="53"/>
      <c r="I13" s="53"/>
      <c r="J13" s="53"/>
      <c r="K13" s="53"/>
      <c r="L13" s="53"/>
      <c r="M13" s="53"/>
    </row>
    <row r="14" spans="1:13" ht="15" customHeight="1" x14ac:dyDescent="0.45">
      <c r="H14" s="53"/>
      <c r="I14" s="53"/>
      <c r="J14" s="53"/>
      <c r="K14" s="53"/>
      <c r="L14" s="53"/>
      <c r="M14" s="53"/>
    </row>
    <row r="15" spans="1:13" ht="15" customHeight="1" x14ac:dyDescent="0.45">
      <c r="H15" s="53"/>
      <c r="I15" s="53"/>
      <c r="J15" s="53"/>
      <c r="K15" s="53"/>
      <c r="L15" s="53"/>
      <c r="M15" s="53"/>
    </row>
    <row r="16" spans="1:13" ht="15" customHeight="1" x14ac:dyDescent="0.45">
      <c r="H16" s="53"/>
      <c r="I16" s="53"/>
      <c r="J16" s="53"/>
      <c r="K16" s="53"/>
      <c r="L16" s="53"/>
      <c r="M16" s="53"/>
    </row>
    <row r="17" spans="8:13" ht="15" customHeight="1" x14ac:dyDescent="0.45">
      <c r="H17" s="53"/>
      <c r="I17" s="53"/>
      <c r="J17" s="53"/>
      <c r="K17" s="53"/>
      <c r="L17" s="53"/>
      <c r="M17" s="53"/>
    </row>
    <row r="18" spans="8:13" ht="15" customHeight="1" x14ac:dyDescent="0.45">
      <c r="H18" s="53"/>
      <c r="I18" s="53"/>
      <c r="J18" s="53"/>
      <c r="K18" s="53"/>
      <c r="L18" s="53"/>
      <c r="M18" s="53"/>
    </row>
    <row r="19" spans="8:13" ht="15" customHeight="1" x14ac:dyDescent="0.45">
      <c r="H19" s="53"/>
      <c r="I19" s="53"/>
      <c r="J19" s="53"/>
      <c r="K19" s="53"/>
      <c r="L19" s="53"/>
      <c r="M19" s="53"/>
    </row>
    <row r="20" spans="8:13" ht="15" customHeight="1" x14ac:dyDescent="0.45">
      <c r="H20" s="53"/>
      <c r="I20" s="53"/>
      <c r="J20" s="53"/>
      <c r="K20" s="53"/>
      <c r="L20" s="53"/>
      <c r="M20" s="53"/>
    </row>
    <row r="21" spans="8:13" ht="15" customHeight="1" x14ac:dyDescent="0.45">
      <c r="H21" s="53"/>
      <c r="I21" s="53"/>
      <c r="J21" s="53"/>
      <c r="K21" s="53"/>
      <c r="L21" s="53"/>
      <c r="M21" s="53"/>
    </row>
    <row r="22" spans="8:13" ht="15" customHeight="1" x14ac:dyDescent="0.45">
      <c r="H22" s="53"/>
      <c r="I22" s="53"/>
      <c r="J22" s="53"/>
      <c r="K22" s="53"/>
      <c r="L22" s="53"/>
      <c r="M22" s="53"/>
    </row>
    <row r="23" spans="8:13" ht="15" customHeight="1" x14ac:dyDescent="0.45">
      <c r="H23" s="53"/>
      <c r="I23" s="53"/>
      <c r="J23" s="53"/>
      <c r="K23" s="53"/>
      <c r="L23" s="53"/>
      <c r="M23" s="53"/>
    </row>
    <row r="24" spans="8:13" ht="15" customHeight="1" x14ac:dyDescent="0.45">
      <c r="H24" s="53"/>
      <c r="I24" s="53"/>
      <c r="J24" s="53"/>
      <c r="K24" s="53"/>
      <c r="L24" s="53"/>
      <c r="M24" s="53"/>
    </row>
    <row r="25" spans="8:13" ht="15" customHeight="1" x14ac:dyDescent="0.45">
      <c r="H25" s="53"/>
      <c r="I25" s="53"/>
      <c r="J25" s="53"/>
      <c r="K25" s="53"/>
      <c r="L25" s="53"/>
      <c r="M25" s="53"/>
    </row>
    <row r="26" spans="8:13" ht="15" customHeight="1" x14ac:dyDescent="0.45">
      <c r="H26" s="53"/>
      <c r="I26" s="53"/>
      <c r="J26" s="53"/>
      <c r="K26" s="53"/>
      <c r="L26" s="53"/>
      <c r="M26" s="53"/>
    </row>
    <row r="27" spans="8:13" ht="15" customHeight="1" x14ac:dyDescent="0.45">
      <c r="H27" s="53"/>
      <c r="I27" s="53"/>
      <c r="J27" s="53"/>
      <c r="K27" s="53"/>
      <c r="L27" s="53"/>
      <c r="M27" s="53"/>
    </row>
    <row r="28" spans="8:13" ht="15" customHeight="1" x14ac:dyDescent="0.45">
      <c r="H28" s="53"/>
      <c r="I28" s="53"/>
      <c r="J28" s="53"/>
      <c r="K28" s="53"/>
      <c r="L28" s="53"/>
      <c r="M28" s="53"/>
    </row>
    <row r="29" spans="8:13" ht="15" customHeight="1" x14ac:dyDescent="0.45">
      <c r="H29" s="53"/>
      <c r="I29" s="53"/>
      <c r="J29" s="53"/>
      <c r="K29" s="53"/>
      <c r="L29" s="53"/>
      <c r="M29" s="53"/>
    </row>
    <row r="30" spans="8:13" ht="15" customHeight="1" x14ac:dyDescent="0.45">
      <c r="H30" s="53"/>
      <c r="I30" s="53"/>
      <c r="J30" s="53"/>
      <c r="K30" s="53"/>
      <c r="L30" s="53"/>
      <c r="M30" s="53"/>
    </row>
    <row r="31" spans="8:13" ht="15" customHeight="1" x14ac:dyDescent="0.45">
      <c r="H31" s="53"/>
      <c r="I31" s="53"/>
      <c r="J31" s="53"/>
      <c r="K31" s="53"/>
      <c r="L31" s="53"/>
      <c r="M31" s="53"/>
    </row>
    <row r="32" spans="8:13" ht="15" customHeight="1" x14ac:dyDescent="0.45">
      <c r="H32" s="53"/>
      <c r="I32" s="53"/>
      <c r="J32" s="53"/>
      <c r="K32" s="53"/>
      <c r="L32" s="53"/>
      <c r="M32" s="53"/>
    </row>
    <row r="33" spans="8:13" ht="15" customHeight="1" x14ac:dyDescent="0.45">
      <c r="H33" s="53"/>
      <c r="I33" s="53"/>
      <c r="J33" s="53"/>
      <c r="K33" s="53"/>
      <c r="L33" s="53"/>
      <c r="M33" s="53"/>
    </row>
    <row r="34" spans="8:13" ht="15" customHeight="1" x14ac:dyDescent="0.45">
      <c r="H34" s="53"/>
      <c r="I34" s="53"/>
      <c r="J34" s="53"/>
      <c r="K34" s="53"/>
      <c r="L34" s="53"/>
      <c r="M34" s="53"/>
    </row>
    <row r="35" spans="8:13" ht="15" customHeight="1" x14ac:dyDescent="0.45">
      <c r="H35" s="53"/>
      <c r="I35" s="53"/>
      <c r="J35" s="53"/>
      <c r="K35" s="53"/>
      <c r="L35" s="53"/>
      <c r="M35" s="53"/>
    </row>
    <row r="36" spans="8:13" ht="15" customHeight="1" x14ac:dyDescent="0.45">
      <c r="H36" s="53"/>
      <c r="I36" s="53"/>
      <c r="J36" s="53"/>
      <c r="K36" s="53"/>
      <c r="L36" s="53"/>
      <c r="M36" s="53"/>
    </row>
    <row r="37" spans="8:13" ht="15" customHeight="1" x14ac:dyDescent="0.45">
      <c r="H37" s="53"/>
      <c r="I37" s="53"/>
      <c r="J37" s="53"/>
      <c r="K37" s="53"/>
      <c r="L37" s="53"/>
      <c r="M37" s="53"/>
    </row>
    <row r="38" spans="8:13" ht="15" customHeight="1" x14ac:dyDescent="0.45">
      <c r="H38" s="53"/>
      <c r="I38" s="53"/>
      <c r="J38" s="53"/>
      <c r="K38" s="53"/>
      <c r="L38" s="53"/>
      <c r="M38" s="53"/>
    </row>
    <row r="39" spans="8:13" ht="15" customHeight="1" x14ac:dyDescent="0.45">
      <c r="H39" s="53"/>
      <c r="I39" s="53"/>
      <c r="J39" s="53"/>
      <c r="K39" s="53"/>
      <c r="L39" s="53"/>
      <c r="M39" s="53"/>
    </row>
    <row r="40" spans="8:13" ht="15" customHeight="1" x14ac:dyDescent="0.45">
      <c r="H40" s="53"/>
      <c r="I40" s="53"/>
      <c r="J40" s="53"/>
      <c r="K40" s="53"/>
      <c r="L40" s="53"/>
      <c r="M40" s="53"/>
    </row>
    <row r="41" spans="8:13" ht="15" customHeight="1" x14ac:dyDescent="0.45">
      <c r="H41" s="53"/>
      <c r="I41" s="53"/>
      <c r="J41" s="53"/>
      <c r="K41" s="53"/>
      <c r="L41" s="53"/>
      <c r="M41" s="53"/>
    </row>
    <row r="42" spans="8:13" ht="15" customHeight="1" x14ac:dyDescent="0.45">
      <c r="H42" s="53"/>
      <c r="I42" s="53"/>
      <c r="J42" s="53"/>
      <c r="K42" s="53"/>
      <c r="L42" s="53"/>
      <c r="M42" s="53"/>
    </row>
    <row r="43" spans="8:13" ht="15" customHeight="1" x14ac:dyDescent="0.45">
      <c r="H43" s="53"/>
      <c r="I43" s="53"/>
      <c r="J43" s="53"/>
      <c r="K43" s="53"/>
      <c r="L43" s="53"/>
      <c r="M43" s="53"/>
    </row>
    <row r="44" spans="8:13" ht="15" customHeight="1" x14ac:dyDescent="0.45">
      <c r="H44" s="53"/>
      <c r="I44" s="53"/>
      <c r="J44" s="53"/>
      <c r="K44" s="53"/>
      <c r="L44" s="53"/>
      <c r="M44" s="53"/>
    </row>
    <row r="45" spans="8:13" ht="15" customHeight="1" x14ac:dyDescent="0.45">
      <c r="H45" s="53"/>
      <c r="I45" s="53"/>
      <c r="J45" s="53"/>
      <c r="K45" s="53"/>
      <c r="L45" s="53"/>
      <c r="M45" s="53"/>
    </row>
    <row r="46" spans="8:13" ht="15" customHeight="1" x14ac:dyDescent="0.45">
      <c r="H46" s="53"/>
      <c r="I46" s="53"/>
      <c r="J46" s="53"/>
      <c r="K46" s="53"/>
      <c r="L46" s="53"/>
      <c r="M46" s="53"/>
    </row>
    <row r="47" spans="8:13" ht="15" customHeight="1" x14ac:dyDescent="0.45">
      <c r="H47" s="53"/>
      <c r="I47" s="53"/>
      <c r="J47" s="53"/>
      <c r="K47" s="53"/>
      <c r="L47" s="53"/>
      <c r="M47" s="53"/>
    </row>
    <row r="48" spans="8:13" ht="15" customHeight="1" x14ac:dyDescent="0.45">
      <c r="H48" s="53"/>
      <c r="I48" s="53"/>
      <c r="J48" s="53"/>
      <c r="K48" s="53"/>
      <c r="L48" s="53"/>
      <c r="M48" s="53"/>
    </row>
    <row r="49" spans="8:13" ht="15" customHeight="1" x14ac:dyDescent="0.45">
      <c r="H49" s="53"/>
      <c r="I49" s="53"/>
      <c r="J49" s="53"/>
      <c r="K49" s="53"/>
      <c r="L49" s="53"/>
      <c r="M49" s="53"/>
    </row>
    <row r="50" spans="8:13" ht="15" customHeight="1" x14ac:dyDescent="0.45">
      <c r="H50" s="53"/>
      <c r="I50" s="53"/>
      <c r="J50" s="53"/>
      <c r="K50" s="53"/>
      <c r="L50" s="53"/>
      <c r="M50" s="53"/>
    </row>
    <row r="51" spans="8:13" ht="15" customHeight="1" x14ac:dyDescent="0.45">
      <c r="H51" s="53"/>
      <c r="I51" s="53"/>
      <c r="J51" s="53"/>
      <c r="K51" s="53"/>
      <c r="L51" s="53"/>
      <c r="M51" s="53"/>
    </row>
    <row r="52" spans="8:13" ht="15" customHeight="1" x14ac:dyDescent="0.45">
      <c r="H52" s="53"/>
      <c r="I52" s="53"/>
      <c r="J52" s="53"/>
      <c r="K52" s="53"/>
      <c r="L52" s="53"/>
      <c r="M52" s="53"/>
    </row>
    <row r="53" spans="8:13" ht="15" customHeight="1" x14ac:dyDescent="0.45">
      <c r="H53" s="53"/>
      <c r="I53" s="53"/>
      <c r="J53" s="53"/>
      <c r="K53" s="53"/>
      <c r="L53" s="53"/>
      <c r="M53" s="53"/>
    </row>
    <row r="54" spans="8:13" ht="15" customHeight="1" x14ac:dyDescent="0.45">
      <c r="H54" s="53"/>
      <c r="I54" s="53"/>
      <c r="J54" s="53"/>
      <c r="K54" s="53"/>
      <c r="L54" s="53"/>
      <c r="M54" s="53"/>
    </row>
    <row r="55" spans="8:13" ht="15" customHeight="1" x14ac:dyDescent="0.45">
      <c r="H55" s="53"/>
      <c r="I55" s="53"/>
      <c r="J55" s="53"/>
      <c r="K55" s="53"/>
      <c r="L55" s="53"/>
      <c r="M55" s="53"/>
    </row>
    <row r="56" spans="8:13" ht="15" customHeight="1" x14ac:dyDescent="0.45">
      <c r="H56" s="53"/>
      <c r="I56" s="53"/>
      <c r="J56" s="53"/>
      <c r="K56" s="53"/>
      <c r="L56" s="53"/>
      <c r="M56" s="53"/>
    </row>
    <row r="57" spans="8:13" ht="15" customHeight="1" x14ac:dyDescent="0.45">
      <c r="H57" s="53"/>
      <c r="I57" s="53"/>
      <c r="J57" s="53"/>
      <c r="K57" s="53"/>
      <c r="L57" s="53"/>
      <c r="M57" s="53"/>
    </row>
    <row r="58" spans="8:13" ht="15" customHeight="1" x14ac:dyDescent="0.45">
      <c r="H58" s="53"/>
      <c r="I58" s="53"/>
      <c r="J58" s="53"/>
      <c r="K58" s="53"/>
      <c r="L58" s="53"/>
      <c r="M58" s="53"/>
    </row>
    <row r="59" spans="8:13" ht="15" customHeight="1" x14ac:dyDescent="0.45">
      <c r="H59" s="53"/>
      <c r="I59" s="53"/>
      <c r="J59" s="53"/>
      <c r="K59" s="53"/>
      <c r="L59" s="53"/>
      <c r="M59" s="53"/>
    </row>
    <row r="60" spans="8:13" ht="15" customHeight="1" x14ac:dyDescent="0.45">
      <c r="H60" s="53"/>
      <c r="I60" s="53"/>
      <c r="J60" s="53"/>
      <c r="K60" s="53"/>
      <c r="L60" s="53"/>
      <c r="M60" s="53"/>
    </row>
    <row r="61" spans="8:13" ht="15" customHeight="1" x14ac:dyDescent="0.45">
      <c r="H61" s="53"/>
      <c r="I61" s="53"/>
      <c r="J61" s="53"/>
      <c r="K61" s="53"/>
      <c r="L61" s="53"/>
      <c r="M61" s="53"/>
    </row>
    <row r="62" spans="8:13" ht="15" customHeight="1" x14ac:dyDescent="0.45">
      <c r="H62" s="53"/>
      <c r="I62" s="53"/>
      <c r="J62" s="53"/>
      <c r="K62" s="53"/>
      <c r="L62" s="53"/>
      <c r="M62" s="53"/>
    </row>
    <row r="63" spans="8:13" ht="15" customHeight="1" x14ac:dyDescent="0.45">
      <c r="H63" s="53"/>
      <c r="I63" s="53"/>
      <c r="J63" s="53"/>
      <c r="K63" s="53"/>
      <c r="L63" s="53"/>
      <c r="M63" s="53"/>
    </row>
    <row r="64" spans="8:13" ht="15" customHeight="1" x14ac:dyDescent="0.45">
      <c r="H64" s="53"/>
      <c r="I64" s="53"/>
      <c r="J64" s="53"/>
      <c r="K64" s="53"/>
      <c r="L64" s="53"/>
      <c r="M64" s="53"/>
    </row>
    <row r="65" spans="8:13" ht="15" customHeight="1" x14ac:dyDescent="0.45">
      <c r="H65" s="53"/>
      <c r="I65" s="53"/>
      <c r="J65" s="53"/>
      <c r="K65" s="53"/>
      <c r="L65" s="53"/>
      <c r="M65" s="53"/>
    </row>
    <row r="66" spans="8:13" ht="15" customHeight="1" x14ac:dyDescent="0.45">
      <c r="H66" s="53"/>
      <c r="I66" s="53"/>
      <c r="J66" s="53"/>
      <c r="K66" s="53"/>
      <c r="L66" s="53"/>
      <c r="M66" s="53"/>
    </row>
    <row r="67" spans="8:13" ht="15" customHeight="1" x14ac:dyDescent="0.45">
      <c r="H67" s="53"/>
      <c r="I67" s="53"/>
      <c r="J67" s="53"/>
      <c r="K67" s="53"/>
      <c r="L67" s="53"/>
      <c r="M67" s="53"/>
    </row>
    <row r="68" spans="8:13" ht="15" customHeight="1" x14ac:dyDescent="0.45">
      <c r="H68" s="53"/>
      <c r="I68" s="53"/>
      <c r="J68" s="53"/>
      <c r="K68" s="53"/>
      <c r="L68" s="53"/>
      <c r="M68" s="53"/>
    </row>
    <row r="69" spans="8:13" ht="15" customHeight="1" x14ac:dyDescent="0.45">
      <c r="H69" s="53"/>
      <c r="I69" s="53"/>
      <c r="J69" s="53"/>
      <c r="K69" s="53"/>
      <c r="L69" s="53"/>
      <c r="M69" s="53"/>
    </row>
    <row r="70" spans="8:13" ht="15" customHeight="1" x14ac:dyDescent="0.45">
      <c r="H70" s="53"/>
      <c r="I70" s="53"/>
      <c r="J70" s="53"/>
      <c r="K70" s="53"/>
      <c r="L70" s="53"/>
      <c r="M70" s="53"/>
    </row>
    <row r="71" spans="8:13" ht="15" customHeight="1" x14ac:dyDescent="0.45">
      <c r="H71" s="53"/>
      <c r="I71" s="53"/>
      <c r="J71" s="53"/>
      <c r="K71" s="53"/>
      <c r="L71" s="53"/>
      <c r="M71" s="53"/>
    </row>
    <row r="72" spans="8:13" ht="15" customHeight="1" x14ac:dyDescent="0.45">
      <c r="H72" s="53"/>
      <c r="I72" s="53"/>
      <c r="J72" s="53"/>
      <c r="K72" s="53"/>
      <c r="L72" s="53"/>
      <c r="M72" s="53"/>
    </row>
    <row r="73" spans="8:13" ht="15" customHeight="1" x14ac:dyDescent="0.45">
      <c r="H73" s="53"/>
      <c r="I73" s="53"/>
      <c r="J73" s="53"/>
      <c r="K73" s="53"/>
      <c r="L73" s="53"/>
      <c r="M73" s="53"/>
    </row>
    <row r="74" spans="8:13" ht="15" customHeight="1" x14ac:dyDescent="0.45">
      <c r="H74" s="53"/>
      <c r="I74" s="53"/>
      <c r="J74" s="53"/>
      <c r="K74" s="53"/>
      <c r="L74" s="53"/>
      <c r="M74" s="53"/>
    </row>
    <row r="75" spans="8:13" ht="15" customHeight="1" x14ac:dyDescent="0.45">
      <c r="H75" s="53"/>
      <c r="I75" s="53"/>
      <c r="J75" s="53"/>
      <c r="K75" s="53"/>
      <c r="L75" s="53"/>
      <c r="M75" s="53"/>
    </row>
    <row r="76" spans="8:13" ht="15" customHeight="1" x14ac:dyDescent="0.45">
      <c r="H76" s="53"/>
      <c r="I76" s="53"/>
      <c r="J76" s="53"/>
      <c r="K76" s="53"/>
      <c r="L76" s="53"/>
      <c r="M76" s="53"/>
    </row>
    <row r="77" spans="8:13" ht="15" customHeight="1" x14ac:dyDescent="0.45">
      <c r="H77" s="53"/>
      <c r="I77" s="53"/>
      <c r="J77" s="53"/>
      <c r="K77" s="53"/>
      <c r="L77" s="53"/>
      <c r="M77" s="53"/>
    </row>
    <row r="78" spans="8:13" ht="15" customHeight="1" x14ac:dyDescent="0.45">
      <c r="H78" s="53"/>
      <c r="I78" s="53"/>
      <c r="J78" s="53"/>
      <c r="K78" s="53"/>
      <c r="L78" s="53"/>
      <c r="M78" s="53"/>
    </row>
    <row r="79" spans="8:13" ht="15" customHeight="1" x14ac:dyDescent="0.45">
      <c r="H79" s="53"/>
      <c r="I79" s="53"/>
      <c r="J79" s="53"/>
      <c r="K79" s="53"/>
      <c r="L79" s="53"/>
      <c r="M79" s="53"/>
    </row>
    <row r="80" spans="8:13" ht="15" customHeight="1" x14ac:dyDescent="0.45">
      <c r="H80" s="53"/>
      <c r="I80" s="53"/>
      <c r="J80" s="53"/>
      <c r="K80" s="53"/>
      <c r="L80" s="53"/>
      <c r="M80" s="53"/>
    </row>
    <row r="81" spans="8:13" ht="15" customHeight="1" x14ac:dyDescent="0.45">
      <c r="H81" s="53"/>
      <c r="I81" s="53"/>
      <c r="J81" s="53"/>
      <c r="K81" s="53"/>
      <c r="L81" s="53"/>
      <c r="M81" s="53"/>
    </row>
    <row r="82" spans="8:13" ht="15" customHeight="1" x14ac:dyDescent="0.45">
      <c r="H82" s="53"/>
      <c r="I82" s="53"/>
      <c r="J82" s="53"/>
      <c r="K82" s="53"/>
      <c r="L82" s="53"/>
      <c r="M82" s="53"/>
    </row>
    <row r="83" spans="8:13" ht="15" customHeight="1" x14ac:dyDescent="0.45">
      <c r="H83" s="53"/>
      <c r="I83" s="53"/>
      <c r="J83" s="53"/>
      <c r="K83" s="53"/>
      <c r="L83" s="53"/>
      <c r="M83" s="53"/>
    </row>
    <row r="84" spans="8:13" ht="15" customHeight="1" x14ac:dyDescent="0.45">
      <c r="H84" s="53"/>
      <c r="I84" s="53"/>
      <c r="J84" s="53"/>
      <c r="K84" s="53"/>
      <c r="L84" s="53"/>
      <c r="M84" s="53"/>
    </row>
    <row r="85" spans="8:13" ht="15" customHeight="1" x14ac:dyDescent="0.45">
      <c r="H85" s="53"/>
      <c r="I85" s="53"/>
      <c r="J85" s="53"/>
      <c r="K85" s="53"/>
      <c r="L85" s="53"/>
      <c r="M85" s="53"/>
    </row>
    <row r="86" spans="8:13" ht="15" customHeight="1" x14ac:dyDescent="0.45">
      <c r="H86" s="53"/>
      <c r="I86" s="53"/>
      <c r="J86" s="53"/>
      <c r="K86" s="53"/>
      <c r="L86" s="53"/>
      <c r="M86" s="53"/>
    </row>
    <row r="87" spans="8:13" ht="15" customHeight="1" x14ac:dyDescent="0.45">
      <c r="H87" s="53"/>
      <c r="I87" s="53"/>
      <c r="J87" s="53"/>
      <c r="K87" s="53"/>
      <c r="L87" s="53"/>
      <c r="M87" s="53"/>
    </row>
    <row r="88" spans="8:13" ht="15" customHeight="1" x14ac:dyDescent="0.45">
      <c r="H88" s="53"/>
      <c r="I88" s="53"/>
      <c r="J88" s="53"/>
      <c r="K88" s="53"/>
      <c r="L88" s="53"/>
      <c r="M88" s="53"/>
    </row>
    <row r="89" spans="8:13" ht="15" customHeight="1" x14ac:dyDescent="0.45">
      <c r="H89" s="53"/>
      <c r="I89" s="53"/>
      <c r="J89" s="53"/>
      <c r="K89" s="53"/>
      <c r="L89" s="53"/>
      <c r="M89" s="53"/>
    </row>
    <row r="90" spans="8:13" ht="15" customHeight="1" x14ac:dyDescent="0.45">
      <c r="H90" s="53"/>
      <c r="I90" s="53"/>
      <c r="J90" s="53"/>
      <c r="K90" s="53"/>
      <c r="L90" s="53"/>
      <c r="M90" s="53"/>
    </row>
    <row r="91" spans="8:13" ht="15" customHeight="1" x14ac:dyDescent="0.45">
      <c r="H91" s="53"/>
      <c r="I91" s="53"/>
      <c r="J91" s="53"/>
      <c r="K91" s="53"/>
      <c r="L91" s="53"/>
      <c r="M91" s="53"/>
    </row>
    <row r="92" spans="8:13" ht="15" customHeight="1" x14ac:dyDescent="0.45">
      <c r="H92" s="53"/>
      <c r="I92" s="53"/>
      <c r="J92" s="53"/>
      <c r="K92" s="53"/>
      <c r="L92" s="53"/>
      <c r="M92" s="53"/>
    </row>
    <row r="93" spans="8:13" ht="15" customHeight="1" x14ac:dyDescent="0.45">
      <c r="H93" s="53"/>
      <c r="I93" s="53"/>
      <c r="J93" s="53"/>
      <c r="K93" s="53"/>
      <c r="L93" s="53"/>
      <c r="M93" s="53"/>
    </row>
    <row r="94" spans="8:13" ht="15" customHeight="1" x14ac:dyDescent="0.45">
      <c r="H94" s="53"/>
      <c r="I94" s="53"/>
      <c r="J94" s="53"/>
      <c r="K94" s="53"/>
      <c r="L94" s="53"/>
      <c r="M94" s="53"/>
    </row>
    <row r="95" spans="8:13" ht="15" customHeight="1" x14ac:dyDescent="0.45">
      <c r="H95" s="53"/>
      <c r="I95" s="53"/>
      <c r="J95" s="53"/>
      <c r="K95" s="53"/>
      <c r="L95" s="53"/>
      <c r="M95" s="53"/>
    </row>
    <row r="96" spans="8:13" ht="15" customHeight="1" x14ac:dyDescent="0.45">
      <c r="H96" s="53"/>
      <c r="I96" s="53"/>
      <c r="J96" s="53"/>
      <c r="K96" s="53"/>
      <c r="L96" s="53"/>
      <c r="M96" s="53"/>
    </row>
    <row r="97" spans="8:13" ht="15" customHeight="1" x14ac:dyDescent="0.45">
      <c r="H97" s="53"/>
      <c r="I97" s="53"/>
      <c r="J97" s="53"/>
      <c r="K97" s="53"/>
      <c r="L97" s="53"/>
      <c r="M97" s="53"/>
    </row>
    <row r="98" spans="8:13" ht="15" customHeight="1" x14ac:dyDescent="0.45">
      <c r="H98" s="53"/>
      <c r="I98" s="53"/>
      <c r="J98" s="53"/>
      <c r="K98" s="53"/>
      <c r="L98" s="53"/>
      <c r="M98" s="53"/>
    </row>
    <row r="99" spans="8:13" ht="15" customHeight="1" x14ac:dyDescent="0.45">
      <c r="H99" s="53"/>
      <c r="I99" s="53"/>
      <c r="J99" s="53"/>
      <c r="K99" s="53"/>
      <c r="L99" s="53"/>
      <c r="M99" s="53"/>
    </row>
    <row r="100" spans="8:13" ht="15" customHeight="1" x14ac:dyDescent="0.45">
      <c r="H100" s="53"/>
      <c r="I100" s="53"/>
      <c r="J100" s="53"/>
      <c r="K100" s="53"/>
      <c r="L100" s="53"/>
      <c r="M100" s="53"/>
    </row>
    <row r="101" spans="8:13" ht="15" customHeight="1" x14ac:dyDescent="0.45">
      <c r="H101" s="53"/>
      <c r="I101" s="53"/>
      <c r="J101" s="53"/>
      <c r="K101" s="53"/>
      <c r="L101" s="53"/>
      <c r="M101" s="53"/>
    </row>
    <row r="102" spans="8:13" ht="15" customHeight="1" x14ac:dyDescent="0.45">
      <c r="H102" s="53"/>
      <c r="I102" s="53"/>
      <c r="J102" s="53"/>
      <c r="K102" s="53"/>
      <c r="L102" s="53"/>
      <c r="M102" s="53"/>
    </row>
    <row r="103" spans="8:13" ht="15" customHeight="1" x14ac:dyDescent="0.45">
      <c r="H103" s="53"/>
      <c r="I103" s="53"/>
      <c r="J103" s="53"/>
      <c r="K103" s="53"/>
      <c r="L103" s="53"/>
      <c r="M103" s="53"/>
    </row>
    <row r="104" spans="8:13" ht="15" customHeight="1" x14ac:dyDescent="0.45">
      <c r="H104" s="53"/>
      <c r="I104" s="53"/>
      <c r="J104" s="53"/>
      <c r="K104" s="53"/>
      <c r="L104" s="53"/>
      <c r="M104" s="53"/>
    </row>
    <row r="105" spans="8:13" ht="15" customHeight="1" x14ac:dyDescent="0.45">
      <c r="H105" s="53"/>
      <c r="I105" s="53"/>
      <c r="J105" s="53"/>
      <c r="K105" s="53"/>
      <c r="L105" s="53"/>
      <c r="M105" s="53"/>
    </row>
    <row r="106" spans="8:13" ht="15" customHeight="1" x14ac:dyDescent="0.45">
      <c r="H106" s="53"/>
      <c r="I106" s="53"/>
      <c r="J106" s="53"/>
      <c r="K106" s="53"/>
      <c r="L106" s="53"/>
      <c r="M106" s="53"/>
    </row>
    <row r="107" spans="8:13" ht="15" customHeight="1" x14ac:dyDescent="0.45">
      <c r="H107" s="53"/>
      <c r="I107" s="53"/>
      <c r="J107" s="53"/>
      <c r="K107" s="53"/>
      <c r="L107" s="53"/>
      <c r="M107" s="53"/>
    </row>
    <row r="108" spans="8:13" ht="15" customHeight="1" x14ac:dyDescent="0.45">
      <c r="H108" s="53"/>
      <c r="I108" s="53"/>
      <c r="J108" s="53"/>
      <c r="K108" s="53"/>
      <c r="L108" s="53"/>
      <c r="M108" s="53"/>
    </row>
    <row r="109" spans="8:13" ht="15" customHeight="1" x14ac:dyDescent="0.45">
      <c r="H109" s="53"/>
      <c r="I109" s="53"/>
      <c r="J109" s="53"/>
      <c r="K109" s="53"/>
      <c r="L109" s="53"/>
      <c r="M109" s="53"/>
    </row>
    <row r="110" spans="8:13" ht="15" customHeight="1" x14ac:dyDescent="0.45">
      <c r="H110" s="53"/>
      <c r="I110" s="53"/>
      <c r="J110" s="53"/>
      <c r="K110" s="53"/>
      <c r="L110" s="53"/>
      <c r="M110" s="53"/>
    </row>
    <row r="111" spans="8:13" ht="15" customHeight="1" x14ac:dyDescent="0.45">
      <c r="H111" s="53"/>
      <c r="I111" s="53"/>
      <c r="J111" s="53"/>
      <c r="K111" s="53"/>
      <c r="L111" s="53"/>
      <c r="M111" s="53"/>
    </row>
    <row r="112" spans="8:13" ht="15" customHeight="1" x14ac:dyDescent="0.45">
      <c r="H112" s="53"/>
      <c r="I112" s="53"/>
      <c r="J112" s="53"/>
      <c r="K112" s="53"/>
      <c r="L112" s="53"/>
      <c r="M112" s="53"/>
    </row>
    <row r="113" spans="8:13" ht="15" customHeight="1" x14ac:dyDescent="0.45">
      <c r="H113" s="53"/>
      <c r="I113" s="53"/>
      <c r="J113" s="53"/>
      <c r="K113" s="53"/>
      <c r="L113" s="53"/>
      <c r="M113" s="53"/>
    </row>
    <row r="114" spans="8:13" ht="15" customHeight="1" x14ac:dyDescent="0.45">
      <c r="H114" s="53"/>
      <c r="I114" s="53"/>
      <c r="J114" s="53"/>
      <c r="K114" s="53"/>
      <c r="L114" s="53"/>
      <c r="M114" s="53"/>
    </row>
    <row r="115" spans="8:13" ht="15" customHeight="1" x14ac:dyDescent="0.45">
      <c r="H115" s="53"/>
      <c r="I115" s="53"/>
      <c r="J115" s="53"/>
      <c r="K115" s="53"/>
      <c r="L115" s="53"/>
      <c r="M115" s="53"/>
    </row>
    <row r="116" spans="8:13" ht="15" customHeight="1" x14ac:dyDescent="0.45">
      <c r="H116" s="53"/>
      <c r="I116" s="53"/>
      <c r="J116" s="53"/>
      <c r="K116" s="53"/>
      <c r="L116" s="53"/>
      <c r="M116" s="53"/>
    </row>
    <row r="117" spans="8:13" ht="15" customHeight="1" x14ac:dyDescent="0.45">
      <c r="H117" s="53"/>
      <c r="I117" s="53"/>
      <c r="J117" s="53"/>
      <c r="K117" s="53"/>
      <c r="L117" s="53"/>
      <c r="M117" s="53"/>
    </row>
    <row r="118" spans="8:13" ht="15" customHeight="1" x14ac:dyDescent="0.45">
      <c r="H118" s="53"/>
      <c r="I118" s="53"/>
      <c r="J118" s="53"/>
      <c r="K118" s="53"/>
      <c r="L118" s="53"/>
      <c r="M118" s="53"/>
    </row>
    <row r="119" spans="8:13" ht="15" customHeight="1" x14ac:dyDescent="0.45">
      <c r="H119" s="53"/>
      <c r="I119" s="53"/>
      <c r="J119" s="53"/>
      <c r="K119" s="53"/>
      <c r="L119" s="53"/>
      <c r="M119" s="53"/>
    </row>
    <row r="120" spans="8:13" ht="15" customHeight="1" x14ac:dyDescent="0.45">
      <c r="H120" s="53"/>
      <c r="I120" s="53"/>
      <c r="J120" s="53"/>
      <c r="K120" s="53"/>
      <c r="L120" s="53"/>
      <c r="M120" s="53"/>
    </row>
    <row r="121" spans="8:13" ht="15" customHeight="1" x14ac:dyDescent="0.45">
      <c r="H121" s="53"/>
      <c r="I121" s="53"/>
      <c r="J121" s="53"/>
      <c r="K121" s="53"/>
      <c r="L121" s="53"/>
      <c r="M121" s="53"/>
    </row>
    <row r="122" spans="8:13" ht="15" customHeight="1" x14ac:dyDescent="0.45">
      <c r="H122" s="53"/>
      <c r="I122" s="53"/>
      <c r="J122" s="53"/>
      <c r="K122" s="53"/>
      <c r="L122" s="53"/>
      <c r="M122" s="53"/>
    </row>
    <row r="123" spans="8:13" ht="15" customHeight="1" x14ac:dyDescent="0.45">
      <c r="H123" s="53"/>
      <c r="I123" s="53"/>
      <c r="J123" s="53"/>
      <c r="K123" s="53"/>
      <c r="L123" s="53"/>
      <c r="M123" s="53"/>
    </row>
    <row r="124" spans="8:13" ht="15" customHeight="1" x14ac:dyDescent="0.45">
      <c r="H124" s="53"/>
      <c r="I124" s="53"/>
      <c r="J124" s="53"/>
      <c r="K124" s="53"/>
      <c r="L124" s="53"/>
      <c r="M124" s="53"/>
    </row>
    <row r="125" spans="8:13" ht="15" customHeight="1" x14ac:dyDescent="0.45">
      <c r="H125" s="53"/>
      <c r="I125" s="53"/>
      <c r="J125" s="53"/>
      <c r="K125" s="53"/>
      <c r="L125" s="53"/>
      <c r="M125" s="53"/>
    </row>
    <row r="126" spans="8:13" ht="15" customHeight="1" x14ac:dyDescent="0.45">
      <c r="H126" s="53"/>
      <c r="I126" s="53"/>
      <c r="J126" s="53"/>
      <c r="K126" s="53"/>
      <c r="L126" s="53"/>
      <c r="M126" s="53"/>
    </row>
    <row r="127" spans="8:13" ht="15" customHeight="1" x14ac:dyDescent="0.45">
      <c r="H127" s="53"/>
      <c r="I127" s="53"/>
      <c r="J127" s="53"/>
      <c r="K127" s="53"/>
      <c r="L127" s="53"/>
      <c r="M127" s="53"/>
    </row>
    <row r="128" spans="8:13" ht="15" customHeight="1" x14ac:dyDescent="0.45">
      <c r="H128" s="53"/>
      <c r="I128" s="53"/>
      <c r="J128" s="53"/>
      <c r="K128" s="53"/>
      <c r="L128" s="53"/>
      <c r="M128" s="53"/>
    </row>
    <row r="129" spans="8:13" ht="15" customHeight="1" x14ac:dyDescent="0.45">
      <c r="H129" s="53"/>
      <c r="I129" s="53"/>
      <c r="J129" s="53"/>
      <c r="K129" s="53"/>
      <c r="L129" s="53"/>
      <c r="M129" s="53"/>
    </row>
    <row r="130" spans="8:13" ht="15" customHeight="1" x14ac:dyDescent="0.45">
      <c r="H130" s="53"/>
      <c r="I130" s="53"/>
      <c r="J130" s="53"/>
      <c r="K130" s="53"/>
      <c r="L130" s="53"/>
      <c r="M130" s="53"/>
    </row>
    <row r="131" spans="8:13" ht="15" customHeight="1" x14ac:dyDescent="0.45">
      <c r="H131" s="53"/>
      <c r="I131" s="53"/>
      <c r="J131" s="53"/>
      <c r="K131" s="53"/>
      <c r="L131" s="53"/>
      <c r="M131" s="53"/>
    </row>
    <row r="132" spans="8:13" ht="15" customHeight="1" x14ac:dyDescent="0.45">
      <c r="H132" s="53"/>
      <c r="I132" s="53"/>
      <c r="J132" s="53"/>
      <c r="K132" s="53"/>
      <c r="L132" s="53"/>
      <c r="M132" s="53"/>
    </row>
    <row r="133" spans="8:13" ht="15" customHeight="1" x14ac:dyDescent="0.45">
      <c r="H133" s="53"/>
      <c r="I133" s="53"/>
      <c r="J133" s="53"/>
      <c r="K133" s="53"/>
      <c r="L133" s="53"/>
      <c r="M133" s="53"/>
    </row>
    <row r="134" spans="8:13" ht="15" customHeight="1" x14ac:dyDescent="0.45">
      <c r="H134" s="53"/>
      <c r="I134" s="53"/>
      <c r="J134" s="53"/>
      <c r="K134" s="53"/>
      <c r="L134" s="53"/>
      <c r="M134" s="53"/>
    </row>
    <row r="135" spans="8:13" ht="15" customHeight="1" x14ac:dyDescent="0.45">
      <c r="H135" s="53"/>
      <c r="I135" s="53"/>
      <c r="J135" s="53"/>
      <c r="K135" s="53"/>
      <c r="L135" s="53"/>
      <c r="M135" s="53"/>
    </row>
    <row r="136" spans="8:13" ht="15" customHeight="1" x14ac:dyDescent="0.45">
      <c r="H136" s="53"/>
      <c r="I136" s="53"/>
      <c r="J136" s="53"/>
      <c r="K136" s="53"/>
      <c r="L136" s="53"/>
      <c r="M136" s="53"/>
    </row>
    <row r="137" spans="8:13" ht="15" customHeight="1" x14ac:dyDescent="0.45">
      <c r="H137" s="53"/>
      <c r="I137" s="53"/>
      <c r="J137" s="53"/>
      <c r="K137" s="53"/>
      <c r="L137" s="53"/>
      <c r="M137" s="53"/>
    </row>
    <row r="138" spans="8:13" ht="15" customHeight="1" x14ac:dyDescent="0.45">
      <c r="H138" s="53"/>
      <c r="I138" s="53"/>
      <c r="J138" s="53"/>
      <c r="K138" s="53"/>
      <c r="L138" s="53"/>
      <c r="M138" s="53"/>
    </row>
    <row r="139" spans="8:13" ht="15" customHeight="1" x14ac:dyDescent="0.45">
      <c r="H139" s="53"/>
      <c r="I139" s="53"/>
      <c r="J139" s="53"/>
      <c r="K139" s="53"/>
      <c r="L139" s="53"/>
      <c r="M139" s="53"/>
    </row>
    <row r="140" spans="8:13" ht="15" customHeight="1" x14ac:dyDescent="0.45">
      <c r="H140" s="53"/>
      <c r="I140" s="53"/>
      <c r="J140" s="53"/>
      <c r="K140" s="53"/>
      <c r="L140" s="53"/>
      <c r="M140" s="53"/>
    </row>
    <row r="141" spans="8:13" ht="15" customHeight="1" x14ac:dyDescent="0.45">
      <c r="H141" s="53"/>
      <c r="I141" s="53"/>
      <c r="J141" s="53"/>
      <c r="K141" s="53"/>
      <c r="L141" s="53"/>
      <c r="M141" s="53"/>
    </row>
    <row r="142" spans="8:13" ht="15" customHeight="1" x14ac:dyDescent="0.45">
      <c r="H142" s="53"/>
      <c r="I142" s="53"/>
      <c r="J142" s="53"/>
      <c r="K142" s="53"/>
      <c r="L142" s="53"/>
      <c r="M142" s="53"/>
    </row>
    <row r="143" spans="8:13" ht="15" customHeight="1" x14ac:dyDescent="0.45">
      <c r="H143" s="53"/>
      <c r="I143" s="53"/>
      <c r="J143" s="53"/>
      <c r="K143" s="53"/>
      <c r="L143" s="53"/>
      <c r="M143" s="53"/>
    </row>
    <row r="144" spans="8:13" ht="15" customHeight="1" x14ac:dyDescent="0.45">
      <c r="H144" s="53"/>
      <c r="I144" s="53"/>
      <c r="J144" s="53"/>
      <c r="K144" s="53"/>
      <c r="L144" s="53"/>
      <c r="M144" s="53"/>
    </row>
    <row r="145" spans="8:13" ht="15" customHeight="1" x14ac:dyDescent="0.45">
      <c r="H145" s="53"/>
      <c r="I145" s="53"/>
      <c r="J145" s="53"/>
      <c r="K145" s="53"/>
      <c r="L145" s="53"/>
      <c r="M145" s="53"/>
    </row>
    <row r="146" spans="8:13" ht="15" customHeight="1" x14ac:dyDescent="0.45">
      <c r="H146" s="53"/>
      <c r="I146" s="53"/>
      <c r="J146" s="53"/>
      <c r="K146" s="53"/>
      <c r="L146" s="53"/>
      <c r="M146" s="53"/>
    </row>
    <row r="147" spans="8:13" ht="15" customHeight="1" x14ac:dyDescent="0.45">
      <c r="H147" s="53"/>
      <c r="I147" s="53"/>
      <c r="J147" s="53"/>
      <c r="K147" s="53"/>
      <c r="L147" s="53"/>
      <c r="M147" s="53"/>
    </row>
    <row r="148" spans="8:13" ht="15" customHeight="1" x14ac:dyDescent="0.45">
      <c r="H148" s="53"/>
      <c r="I148" s="53"/>
      <c r="J148" s="53"/>
      <c r="K148" s="53"/>
      <c r="L148" s="53"/>
      <c r="M148" s="53"/>
    </row>
    <row r="149" spans="8:13" ht="15" customHeight="1" x14ac:dyDescent="0.45">
      <c r="H149" s="53"/>
      <c r="I149" s="53"/>
      <c r="J149" s="53"/>
      <c r="K149" s="53"/>
      <c r="L149" s="53"/>
      <c r="M149" s="53"/>
    </row>
    <row r="150" spans="8:13" ht="15" customHeight="1" x14ac:dyDescent="0.45">
      <c r="H150" s="53"/>
      <c r="I150" s="53"/>
      <c r="J150" s="53"/>
      <c r="K150" s="53"/>
      <c r="L150" s="53"/>
      <c r="M150" s="53"/>
    </row>
    <row r="151" spans="8:13" ht="15" customHeight="1" x14ac:dyDescent="0.45">
      <c r="H151" s="53"/>
      <c r="I151" s="53"/>
      <c r="J151" s="53"/>
      <c r="K151" s="53"/>
      <c r="L151" s="53"/>
      <c r="M151" s="53"/>
    </row>
    <row r="152" spans="8:13" ht="15" customHeight="1" x14ac:dyDescent="0.45">
      <c r="H152" s="53"/>
      <c r="I152" s="53"/>
      <c r="J152" s="53"/>
      <c r="K152" s="53"/>
      <c r="L152" s="53"/>
      <c r="M152" s="53"/>
    </row>
    <row r="153" spans="8:13" ht="15" customHeight="1" x14ac:dyDescent="0.45">
      <c r="H153" s="53"/>
      <c r="I153" s="53"/>
      <c r="J153" s="53"/>
      <c r="K153" s="53"/>
      <c r="L153" s="53"/>
      <c r="M153" s="53"/>
    </row>
    <row r="154" spans="8:13" ht="15" customHeight="1" x14ac:dyDescent="0.45">
      <c r="H154" s="53"/>
      <c r="I154" s="53"/>
      <c r="J154" s="53"/>
      <c r="K154" s="53"/>
      <c r="L154" s="53"/>
      <c r="M154" s="53"/>
    </row>
    <row r="155" spans="8:13" ht="15" customHeight="1" x14ac:dyDescent="0.45">
      <c r="H155" s="53"/>
      <c r="I155" s="53"/>
      <c r="J155" s="53"/>
      <c r="K155" s="53"/>
      <c r="L155" s="53"/>
      <c r="M155" s="53"/>
    </row>
    <row r="156" spans="8:13" ht="15" customHeight="1" x14ac:dyDescent="0.45">
      <c r="H156" s="53"/>
      <c r="I156" s="53"/>
      <c r="J156" s="53"/>
      <c r="K156" s="53"/>
      <c r="L156" s="53"/>
      <c r="M156" s="53"/>
    </row>
    <row r="157" spans="8:13" ht="15" customHeight="1" x14ac:dyDescent="0.45">
      <c r="H157" s="53"/>
      <c r="I157" s="53"/>
      <c r="J157" s="53"/>
      <c r="K157" s="53"/>
      <c r="L157" s="53"/>
      <c r="M157" s="53"/>
    </row>
    <row r="158" spans="8:13" ht="15" customHeight="1" x14ac:dyDescent="0.45">
      <c r="H158" s="53"/>
      <c r="I158" s="53"/>
      <c r="J158" s="53"/>
      <c r="K158" s="53"/>
      <c r="L158" s="53"/>
      <c r="M158" s="53"/>
    </row>
    <row r="159" spans="8:13" ht="15" customHeight="1" x14ac:dyDescent="0.45">
      <c r="H159" s="53"/>
      <c r="I159" s="53"/>
      <c r="J159" s="53"/>
      <c r="K159" s="53"/>
      <c r="L159" s="53"/>
      <c r="M159" s="53"/>
    </row>
    <row r="160" spans="8:13" ht="15" customHeight="1" x14ac:dyDescent="0.45">
      <c r="H160" s="53"/>
      <c r="I160" s="53"/>
      <c r="J160" s="53"/>
      <c r="K160" s="53"/>
      <c r="L160" s="53"/>
      <c r="M160" s="53"/>
    </row>
    <row r="161" spans="8:13" ht="15" customHeight="1" x14ac:dyDescent="0.45">
      <c r="H161" s="53"/>
      <c r="I161" s="53"/>
      <c r="J161" s="53"/>
      <c r="K161" s="53"/>
      <c r="L161" s="53"/>
      <c r="M161" s="53"/>
    </row>
    <row r="162" spans="8:13" ht="15" customHeight="1" x14ac:dyDescent="0.45">
      <c r="H162" s="53"/>
      <c r="I162" s="53"/>
      <c r="J162" s="53"/>
      <c r="K162" s="53"/>
      <c r="L162" s="53"/>
      <c r="M162" s="53"/>
    </row>
    <row r="163" spans="8:13" ht="15" customHeight="1" x14ac:dyDescent="0.45">
      <c r="H163" s="53"/>
      <c r="I163" s="53"/>
      <c r="J163" s="53"/>
      <c r="K163" s="53"/>
      <c r="L163" s="53"/>
      <c r="M163" s="53"/>
    </row>
    <row r="164" spans="8:13" ht="15" customHeight="1" x14ac:dyDescent="0.45">
      <c r="H164" s="53"/>
      <c r="I164" s="53"/>
      <c r="J164" s="53"/>
      <c r="K164" s="53"/>
      <c r="L164" s="53"/>
      <c r="M164" s="53"/>
    </row>
    <row r="165" spans="8:13" ht="15" customHeight="1" x14ac:dyDescent="0.45">
      <c r="H165" s="53"/>
      <c r="I165" s="53"/>
      <c r="J165" s="53"/>
      <c r="K165" s="53"/>
      <c r="L165" s="53"/>
      <c r="M165" s="53"/>
    </row>
    <row r="166" spans="8:13" ht="15" customHeight="1" x14ac:dyDescent="0.45">
      <c r="H166" s="53"/>
      <c r="I166" s="53"/>
      <c r="J166" s="53"/>
      <c r="K166" s="53"/>
      <c r="L166" s="53"/>
      <c r="M166" s="53"/>
    </row>
    <row r="167" spans="8:13" ht="15" customHeight="1" x14ac:dyDescent="0.45">
      <c r="H167" s="53"/>
      <c r="I167" s="53"/>
      <c r="J167" s="53"/>
      <c r="K167" s="53"/>
      <c r="L167" s="53"/>
      <c r="M167" s="53"/>
    </row>
    <row r="168" spans="8:13" ht="15" customHeight="1" x14ac:dyDescent="0.45">
      <c r="H168" s="53"/>
      <c r="I168" s="53"/>
      <c r="J168" s="53"/>
      <c r="K168" s="53"/>
      <c r="L168" s="53"/>
      <c r="M168" s="53"/>
    </row>
    <row r="169" spans="8:13" ht="15" customHeight="1" x14ac:dyDescent="0.45">
      <c r="H169" s="53"/>
      <c r="I169" s="53"/>
      <c r="J169" s="53"/>
      <c r="K169" s="53"/>
      <c r="L169" s="53"/>
      <c r="M169" s="53"/>
    </row>
    <row r="170" spans="8:13" ht="15" customHeight="1" x14ac:dyDescent="0.45">
      <c r="H170" s="53"/>
      <c r="I170" s="53"/>
      <c r="J170" s="53"/>
      <c r="K170" s="53"/>
      <c r="L170" s="53"/>
      <c r="M170" s="53"/>
    </row>
    <row r="171" spans="8:13" ht="15" customHeight="1" x14ac:dyDescent="0.45">
      <c r="H171" s="53"/>
      <c r="I171" s="53"/>
      <c r="J171" s="53"/>
      <c r="K171" s="53"/>
      <c r="L171" s="53"/>
      <c r="M171" s="53"/>
    </row>
    <row r="172" spans="8:13" ht="15" customHeight="1" x14ac:dyDescent="0.45">
      <c r="H172" s="53"/>
      <c r="I172" s="53"/>
      <c r="J172" s="53"/>
      <c r="K172" s="53"/>
      <c r="L172" s="53"/>
      <c r="M172" s="53"/>
    </row>
    <row r="173" spans="8:13" ht="15" customHeight="1" x14ac:dyDescent="0.45">
      <c r="H173" s="53"/>
      <c r="I173" s="53"/>
      <c r="J173" s="53"/>
      <c r="K173" s="53"/>
      <c r="L173" s="53"/>
      <c r="M173" s="53"/>
    </row>
    <row r="174" spans="8:13" ht="15" customHeight="1" x14ac:dyDescent="0.45">
      <c r="H174" s="53"/>
      <c r="I174" s="53"/>
      <c r="J174" s="53"/>
      <c r="K174" s="53"/>
      <c r="L174" s="53"/>
      <c r="M174" s="53"/>
    </row>
    <row r="175" spans="8:13" ht="15" customHeight="1" x14ac:dyDescent="0.45">
      <c r="H175" s="53"/>
      <c r="I175" s="53"/>
      <c r="J175" s="53"/>
      <c r="K175" s="53"/>
      <c r="L175" s="53"/>
      <c r="M175" s="53"/>
    </row>
    <row r="176" spans="8:13" ht="15" customHeight="1" x14ac:dyDescent="0.45">
      <c r="H176" s="53"/>
      <c r="I176" s="53"/>
      <c r="J176" s="53"/>
      <c r="K176" s="53"/>
      <c r="L176" s="53"/>
      <c r="M176" s="53"/>
    </row>
    <row r="177" spans="8:13" ht="15" customHeight="1" x14ac:dyDescent="0.45">
      <c r="H177" s="53"/>
      <c r="I177" s="53"/>
      <c r="J177" s="53"/>
      <c r="K177" s="53"/>
      <c r="L177" s="53"/>
      <c r="M177" s="53"/>
    </row>
    <row r="178" spans="8:13" ht="15" customHeight="1" x14ac:dyDescent="0.45">
      <c r="H178" s="53"/>
      <c r="I178" s="53"/>
      <c r="J178" s="53"/>
      <c r="K178" s="53"/>
      <c r="L178" s="53"/>
      <c r="M178" s="53"/>
    </row>
    <row r="179" spans="8:13" ht="15" customHeight="1" x14ac:dyDescent="0.45">
      <c r="H179" s="53"/>
      <c r="I179" s="53"/>
      <c r="J179" s="53"/>
      <c r="K179" s="53"/>
      <c r="L179" s="53"/>
      <c r="M179" s="53"/>
    </row>
    <row r="180" spans="8:13" ht="15" customHeight="1" x14ac:dyDescent="0.45">
      <c r="H180" s="53"/>
      <c r="I180" s="53"/>
      <c r="J180" s="53"/>
      <c r="K180" s="53"/>
      <c r="L180" s="53"/>
      <c r="M180" s="53"/>
    </row>
    <row r="181" spans="8:13" ht="15" customHeight="1" x14ac:dyDescent="0.45">
      <c r="H181" s="53"/>
      <c r="I181" s="53"/>
      <c r="J181" s="53"/>
      <c r="K181" s="53"/>
      <c r="L181" s="53"/>
      <c r="M181" s="53"/>
    </row>
    <row r="182" spans="8:13" ht="15" customHeight="1" x14ac:dyDescent="0.45">
      <c r="H182" s="53"/>
      <c r="I182" s="53"/>
      <c r="J182" s="53"/>
      <c r="K182" s="53"/>
      <c r="L182" s="53"/>
      <c r="M182" s="53"/>
    </row>
    <row r="183" spans="8:13" ht="15" customHeight="1" x14ac:dyDescent="0.45">
      <c r="H183" s="53"/>
      <c r="I183" s="53"/>
      <c r="J183" s="53"/>
      <c r="K183" s="53"/>
      <c r="L183" s="53"/>
      <c r="M183" s="53"/>
    </row>
    <row r="184" spans="8:13" ht="15" customHeight="1" x14ac:dyDescent="0.45">
      <c r="H184" s="53"/>
      <c r="I184" s="53"/>
      <c r="J184" s="53"/>
      <c r="K184" s="53"/>
      <c r="L184" s="53"/>
      <c r="M184" s="53"/>
    </row>
    <row r="185" spans="8:13" ht="15" customHeight="1" x14ac:dyDescent="0.45">
      <c r="H185" s="53"/>
      <c r="I185" s="53"/>
      <c r="J185" s="53"/>
      <c r="K185" s="53"/>
      <c r="L185" s="53"/>
      <c r="M185" s="53"/>
    </row>
    <row r="186" spans="8:13" ht="15" customHeight="1" x14ac:dyDescent="0.45">
      <c r="H186" s="53"/>
      <c r="I186" s="53"/>
      <c r="J186" s="53"/>
      <c r="K186" s="53"/>
      <c r="L186" s="53"/>
      <c r="M186" s="53"/>
    </row>
    <row r="187" spans="8:13" ht="15" customHeight="1" x14ac:dyDescent="0.45">
      <c r="H187" s="53"/>
      <c r="I187" s="53"/>
      <c r="J187" s="53"/>
      <c r="K187" s="53"/>
      <c r="L187" s="53"/>
      <c r="M187" s="53"/>
    </row>
    <row r="188" spans="8:13" ht="15" customHeight="1" x14ac:dyDescent="0.45">
      <c r="H188" s="53"/>
      <c r="I188" s="53"/>
      <c r="J188" s="53"/>
      <c r="K188" s="53"/>
      <c r="L188" s="53"/>
      <c r="M188" s="53"/>
    </row>
    <row r="189" spans="8:13" ht="15" customHeight="1" x14ac:dyDescent="0.45">
      <c r="H189" s="53"/>
      <c r="I189" s="53"/>
      <c r="J189" s="53"/>
      <c r="K189" s="53"/>
      <c r="L189" s="53"/>
      <c r="M189" s="53"/>
    </row>
    <row r="190" spans="8:13" ht="15" customHeight="1" x14ac:dyDescent="0.45">
      <c r="H190" s="53"/>
      <c r="I190" s="53"/>
      <c r="J190" s="53"/>
      <c r="K190" s="53"/>
      <c r="L190" s="53"/>
      <c r="M190" s="53"/>
    </row>
    <row r="191" spans="8:13" ht="15" customHeight="1" x14ac:dyDescent="0.45">
      <c r="H191" s="53"/>
      <c r="I191" s="53"/>
      <c r="J191" s="53"/>
      <c r="K191" s="53"/>
      <c r="L191" s="53"/>
      <c r="M191" s="53"/>
    </row>
    <row r="192" spans="8:13" ht="15" customHeight="1" x14ac:dyDescent="0.45">
      <c r="H192" s="53"/>
      <c r="I192" s="53"/>
      <c r="J192" s="53"/>
      <c r="K192" s="53"/>
      <c r="L192" s="53"/>
      <c r="M192" s="53"/>
    </row>
    <row r="193" spans="8:13" ht="15" customHeight="1" x14ac:dyDescent="0.45">
      <c r="H193" s="53"/>
      <c r="I193" s="53"/>
      <c r="J193" s="53"/>
      <c r="K193" s="53"/>
      <c r="L193" s="53"/>
      <c r="M193" s="53"/>
    </row>
    <row r="194" spans="8:13" ht="15" customHeight="1" x14ac:dyDescent="0.45">
      <c r="H194" s="53"/>
      <c r="I194" s="53"/>
      <c r="J194" s="53"/>
      <c r="K194" s="53"/>
      <c r="L194" s="53"/>
      <c r="M194" s="53"/>
    </row>
    <row r="195" spans="8:13" ht="15" customHeight="1" x14ac:dyDescent="0.45">
      <c r="H195" s="53"/>
      <c r="I195" s="53"/>
      <c r="J195" s="53"/>
      <c r="K195" s="53"/>
      <c r="L195" s="53"/>
      <c r="M195" s="53"/>
    </row>
    <row r="196" spans="8:13" ht="15" customHeight="1" x14ac:dyDescent="0.45">
      <c r="H196" s="53"/>
      <c r="I196" s="53"/>
      <c r="J196" s="53"/>
      <c r="K196" s="53"/>
      <c r="L196" s="53"/>
      <c r="M196" s="53"/>
    </row>
    <row r="197" spans="8:13" ht="15" customHeight="1" x14ac:dyDescent="0.45">
      <c r="H197" s="53"/>
      <c r="I197" s="53"/>
      <c r="J197" s="53"/>
      <c r="K197" s="53"/>
      <c r="L197" s="53"/>
      <c r="M197" s="53"/>
    </row>
    <row r="198" spans="8:13" ht="15" customHeight="1" x14ac:dyDescent="0.45">
      <c r="H198" s="53"/>
      <c r="I198" s="53"/>
      <c r="J198" s="53"/>
      <c r="K198" s="53"/>
      <c r="L198" s="53"/>
      <c r="M198" s="53"/>
    </row>
    <row r="199" spans="8:13" ht="15" customHeight="1" x14ac:dyDescent="0.45">
      <c r="H199" s="53"/>
      <c r="I199" s="53"/>
      <c r="J199" s="53"/>
      <c r="K199" s="53"/>
      <c r="L199" s="53"/>
      <c r="M199" s="53"/>
    </row>
    <row r="200" spans="8:13" ht="15" customHeight="1" x14ac:dyDescent="0.45">
      <c r="H200" s="53"/>
      <c r="I200" s="53"/>
      <c r="J200" s="53"/>
      <c r="K200" s="53"/>
      <c r="L200" s="53"/>
      <c r="M200" s="53"/>
    </row>
    <row r="201" spans="8:13" ht="15" customHeight="1" x14ac:dyDescent="0.45">
      <c r="H201" s="53"/>
      <c r="I201" s="53"/>
      <c r="J201" s="53"/>
      <c r="K201" s="53"/>
      <c r="L201" s="53"/>
      <c r="M201" s="53"/>
    </row>
    <row r="202" spans="8:13" ht="15" customHeight="1" x14ac:dyDescent="0.45">
      <c r="H202" s="53"/>
      <c r="I202" s="53"/>
      <c r="J202" s="53"/>
      <c r="K202" s="53"/>
      <c r="L202" s="53"/>
      <c r="M202" s="53"/>
    </row>
    <row r="203" spans="8:13" ht="15" customHeight="1" x14ac:dyDescent="0.45">
      <c r="H203" s="53"/>
      <c r="I203" s="53"/>
      <c r="J203" s="53"/>
      <c r="K203" s="53"/>
      <c r="L203" s="53"/>
      <c r="M203" s="53"/>
    </row>
    <row r="204" spans="8:13" ht="15" customHeight="1" x14ac:dyDescent="0.45">
      <c r="H204" s="53"/>
      <c r="I204" s="53"/>
      <c r="J204" s="53"/>
      <c r="K204" s="53"/>
      <c r="L204" s="53"/>
      <c r="M204" s="53"/>
    </row>
    <row r="205" spans="8:13" ht="15" customHeight="1" x14ac:dyDescent="0.45">
      <c r="H205" s="53"/>
      <c r="I205" s="53"/>
      <c r="J205" s="53"/>
      <c r="K205" s="53"/>
      <c r="L205" s="53"/>
      <c r="M205" s="53"/>
    </row>
  </sheetData>
  <mergeCells count="3">
    <mergeCell ref="A3:L3"/>
    <mergeCell ref="A2:L2"/>
    <mergeCell ref="A1:L1"/>
  </mergeCells>
  <conditionalFormatting sqref="D6:D206">
    <cfRule type="cellIs" dxfId="223" priority="2" operator="equal">
      <formula>"Low"</formula>
    </cfRule>
    <cfRule type="cellIs" dxfId="222" priority="3" operator="equal">
      <formula>"Moderate"</formula>
    </cfRule>
    <cfRule type="cellIs" dxfId="221" priority="4" operator="equal">
      <formula>"High"</formula>
    </cfRule>
    <cfRule type="cellIs" dxfId="220" priority="5" operator="equal">
      <formula>"Very High"</formula>
    </cfRule>
  </conditionalFormatting>
  <conditionalFormatting sqref="J6:J206">
    <cfRule type="cellIs" dxfId="219" priority="6" operator="equal">
      <formula>"Open"</formula>
    </cfRule>
    <cfRule type="cellIs" dxfId="218" priority="7" operator="equal">
      <formula>"In Progress"</formula>
    </cfRule>
    <cfRule type="cellIs" dxfId="217" priority="8" operator="equal">
      <formula>"Closed — Verified"</formula>
    </cfRule>
    <cfRule type="cellIs" dxfId="216" priority="9" operator="equal">
      <formula>"Closed — Accepted Risk"</formula>
    </cfRule>
  </conditionalFormatting>
  <dataValidations count="1">
    <dataValidation type="list" allowBlank="1" sqref="J6:J205" xr:uid="{00000000-0002-0000-0300-000000000000}">
      <formula1>"Open,In Progress,Closed — Verified,Closed — Accepted Risk"</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8"/>
  <sheetViews>
    <sheetView topLeftCell="B14" workbookViewId="0">
      <selection activeCell="E19" sqref="E19"/>
    </sheetView>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1.9296875" customWidth="1"/>
    <col min="7" max="7" width="11.6640625"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184</v>
      </c>
      <c r="B1" s="86"/>
      <c r="C1" s="86"/>
      <c r="D1" s="86"/>
      <c r="E1" s="86"/>
      <c r="F1" s="86"/>
      <c r="G1" s="86"/>
      <c r="H1" s="86"/>
      <c r="I1" s="86"/>
      <c r="J1" s="86"/>
      <c r="K1" s="86"/>
      <c r="M1" s="54" t="s">
        <v>90</v>
      </c>
      <c r="N1" s="54" t="s">
        <v>185</v>
      </c>
    </row>
    <row r="2" spans="1:14" ht="15.75" customHeight="1" x14ac:dyDescent="0.45">
      <c r="A2" s="122" t="s">
        <v>186</v>
      </c>
      <c r="B2" s="86"/>
      <c r="C2" s="86"/>
      <c r="D2" s="86"/>
      <c r="E2" s="86"/>
      <c r="F2" s="86"/>
      <c r="G2" s="86"/>
      <c r="H2" s="86"/>
      <c r="I2" s="86"/>
      <c r="J2" s="86"/>
      <c r="K2" s="86"/>
      <c r="M2" s="55" t="s">
        <v>93</v>
      </c>
      <c r="N2" s="55">
        <v>100</v>
      </c>
    </row>
    <row r="3" spans="1:14" ht="14.2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4.2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39" customHeight="1" x14ac:dyDescent="0.55000000000000004">
      <c r="A8" s="59" t="s">
        <v>190</v>
      </c>
      <c r="B8" s="60">
        <f>SUM(F18:F48)</f>
        <v>98.6</v>
      </c>
      <c r="C8" s="60">
        <f>SUM(O18:O48)</f>
        <v>160</v>
      </c>
      <c r="D8" s="61">
        <f>IF(C8&lt;&gt;0,B8/C8,"N/A")</f>
        <v>0.61624999999999996</v>
      </c>
      <c r="F8" s="47" t="s">
        <v>93</v>
      </c>
      <c r="G8" s="62">
        <f>COUNTIF(E18:E48,"Best Practice")</f>
        <v>3</v>
      </c>
      <c r="M8" s="55" t="s">
        <v>191</v>
      </c>
      <c r="N8" s="55">
        <v>0</v>
      </c>
    </row>
    <row r="9" spans="1:14" ht="26.25" customHeight="1" x14ac:dyDescent="0.45">
      <c r="F9" s="47" t="s">
        <v>94</v>
      </c>
      <c r="G9" s="62">
        <f>COUNTIF(E18:E48,"Verified")</f>
        <v>3</v>
      </c>
    </row>
    <row r="10" spans="1:14" ht="14.25" customHeight="1" x14ac:dyDescent="0.45">
      <c r="F10" s="47" t="s">
        <v>96</v>
      </c>
      <c r="G10" s="62">
        <f>COUNTIF(E18:E48,"Low")</f>
        <v>4</v>
      </c>
    </row>
    <row r="11" spans="1:14" ht="26.25" customHeight="1" x14ac:dyDescent="0.45">
      <c r="F11" s="47" t="s">
        <v>97</v>
      </c>
      <c r="G11" s="62">
        <f>COUNTIF(E18:E48,"Moderate")</f>
        <v>3</v>
      </c>
    </row>
    <row r="12" spans="1:14" ht="14.25" customHeight="1" x14ac:dyDescent="0.45">
      <c r="F12" s="47" t="s">
        <v>98</v>
      </c>
      <c r="G12" s="62">
        <f>COUNTIF(E18:E48,"High")</f>
        <v>3</v>
      </c>
    </row>
    <row r="13" spans="1:14" ht="26.25" customHeight="1" x14ac:dyDescent="0.45">
      <c r="F13" s="47" t="s">
        <v>99</v>
      </c>
      <c r="G13" s="62">
        <f>COUNTIF(E18:E48,"Very High")</f>
        <v>4</v>
      </c>
    </row>
    <row r="14" spans="1:14" ht="39" customHeight="1" x14ac:dyDescent="0.45">
      <c r="F14" s="47" t="s">
        <v>191</v>
      </c>
      <c r="G14" s="62">
        <f>COUNTIF(E18:E48,"Not Applicable")</f>
        <v>4</v>
      </c>
    </row>
    <row r="15" spans="1:14" ht="19.5" customHeight="1" x14ac:dyDescent="0.6">
      <c r="A15" s="63" t="s">
        <v>151</v>
      </c>
      <c r="D15" s="64">
        <f>D8</f>
        <v>0.61624999999999996</v>
      </c>
      <c r="F15" s="56" t="s">
        <v>192</v>
      </c>
      <c r="G15" s="121" t="str">
        <f>IF(D8="N/A","N/A",IF(D8&gt;=0.99,"Excellence Leader",IF(D8&gt;=0.9,"Gold",IF(D8&gt;=0.8,"Silver",IF(D8&gt;=0.51,"Bronze","Developing")))))</f>
        <v>Bronze</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196</v>
      </c>
      <c r="B18" s="86"/>
      <c r="C18" s="86"/>
      <c r="D18" s="86"/>
      <c r="E18" s="86"/>
      <c r="F18" s="86"/>
      <c r="G18" s="86"/>
      <c r="H18" s="86"/>
      <c r="I18" s="86"/>
      <c r="J18" s="86"/>
      <c r="K18" s="86"/>
    </row>
    <row r="19" spans="1:15" ht="180" customHeight="1" x14ac:dyDescent="0.45">
      <c r="A19" s="67" t="s">
        <v>197</v>
      </c>
      <c r="B19" s="47" t="s">
        <v>198</v>
      </c>
      <c r="C19" s="47" t="s">
        <v>199</v>
      </c>
      <c r="D19" s="68" t="s">
        <v>200</v>
      </c>
      <c r="E19" s="48" t="s">
        <v>191</v>
      </c>
      <c r="F19" s="69">
        <f>IFERROR(ROUND(G19*VLOOKUP(E19,$M$2:$N$8,2,FALSE())/100,1),0)</f>
        <v>0</v>
      </c>
      <c r="G19" s="48">
        <v>10</v>
      </c>
      <c r="H19" s="47" t="s">
        <v>201</v>
      </c>
      <c r="I19" s="47" t="s">
        <v>202</v>
      </c>
      <c r="J19" s="70" t="s">
        <v>203</v>
      </c>
      <c r="K19" s="47"/>
      <c r="O19" s="55">
        <f>IF(E19="Not Applicable",0,G19)</f>
        <v>0</v>
      </c>
    </row>
    <row r="20" spans="1:15" ht="108" customHeight="1" x14ac:dyDescent="0.45">
      <c r="A20" s="67" t="s">
        <v>204</v>
      </c>
      <c r="B20" s="47" t="s">
        <v>198</v>
      </c>
      <c r="C20" s="47" t="s">
        <v>205</v>
      </c>
      <c r="D20" s="68" t="s">
        <v>206</v>
      </c>
      <c r="E20" s="48" t="s">
        <v>96</v>
      </c>
      <c r="F20" s="69">
        <f>IFERROR(ROUND(G20*VLOOKUP(E20,$M$2:$N$8,2,FALSE())/100,1),0)</f>
        <v>6.8</v>
      </c>
      <c r="G20" s="48">
        <v>8</v>
      </c>
      <c r="H20" s="47" t="s">
        <v>207</v>
      </c>
      <c r="I20" s="47" t="s">
        <v>208</v>
      </c>
      <c r="J20" s="70" t="s">
        <v>209</v>
      </c>
      <c r="K20" s="47"/>
      <c r="O20" s="55">
        <f>IF(E20="Not Applicable",0,G20)</f>
        <v>8</v>
      </c>
    </row>
    <row r="21" spans="1:15" ht="96" customHeight="1" x14ac:dyDescent="0.45">
      <c r="A21" s="67" t="s">
        <v>210</v>
      </c>
      <c r="B21" s="47" t="s">
        <v>198</v>
      </c>
      <c r="C21" s="47" t="s">
        <v>211</v>
      </c>
      <c r="D21" s="68" t="s">
        <v>212</v>
      </c>
      <c r="E21" s="48" t="s">
        <v>99</v>
      </c>
      <c r="F21" s="69">
        <f>IFERROR(ROUND(G21*VLOOKUP(E21,$M$2:$N$8,2,FALSE())/100,1),0)</f>
        <v>0</v>
      </c>
      <c r="G21" s="48">
        <v>6</v>
      </c>
      <c r="H21" s="47" t="s">
        <v>213</v>
      </c>
      <c r="I21" s="47" t="s">
        <v>214</v>
      </c>
      <c r="J21" s="70" t="s">
        <v>215</v>
      </c>
      <c r="K21" s="47"/>
      <c r="O21" s="55">
        <f>IF(E21="Not Applicable",0,G21)</f>
        <v>6</v>
      </c>
    </row>
    <row r="22" spans="1:15" ht="15.75" customHeight="1" x14ac:dyDescent="0.45">
      <c r="A22" s="120" t="s">
        <v>216</v>
      </c>
      <c r="B22" s="86"/>
      <c r="C22" s="86"/>
      <c r="D22" s="86"/>
      <c r="E22" s="86"/>
      <c r="F22" s="86"/>
      <c r="G22" s="86"/>
      <c r="H22" s="86"/>
      <c r="I22" s="86"/>
      <c r="J22" s="86"/>
      <c r="K22" s="86"/>
    </row>
    <row r="23" spans="1:15" ht="168" customHeight="1" x14ac:dyDescent="0.45">
      <c r="A23" s="67" t="s">
        <v>217</v>
      </c>
      <c r="B23" s="47" t="s">
        <v>218</v>
      </c>
      <c r="C23" s="47" t="s">
        <v>219</v>
      </c>
      <c r="D23" s="68" t="s">
        <v>220</v>
      </c>
      <c r="E23" s="48" t="s">
        <v>191</v>
      </c>
      <c r="F23" s="69">
        <f>IFERROR(ROUND(G23*VLOOKUP(E23,$M$2:$N$8,2,FALSE())/100,1),0)</f>
        <v>0</v>
      </c>
      <c r="G23" s="48">
        <v>8</v>
      </c>
      <c r="H23" s="47"/>
      <c r="I23" s="47"/>
      <c r="J23" s="70" t="s">
        <v>221</v>
      </c>
      <c r="K23" s="47"/>
      <c r="O23" s="55">
        <f>IF(E23="Not Applicable",0,G23)</f>
        <v>0</v>
      </c>
    </row>
    <row r="24" spans="1:15" ht="15.75" customHeight="1" x14ac:dyDescent="0.45">
      <c r="A24" s="120" t="s">
        <v>222</v>
      </c>
      <c r="B24" s="86"/>
      <c r="C24" s="86"/>
      <c r="D24" s="86"/>
      <c r="E24" s="86"/>
      <c r="F24" s="86"/>
      <c r="G24" s="86"/>
      <c r="H24" s="86"/>
      <c r="I24" s="86"/>
      <c r="J24" s="86"/>
      <c r="K24" s="86"/>
    </row>
    <row r="25" spans="1:15" ht="84" customHeight="1" x14ac:dyDescent="0.45">
      <c r="A25" s="67" t="s">
        <v>223</v>
      </c>
      <c r="B25" s="47" t="s">
        <v>224</v>
      </c>
      <c r="C25" s="47" t="s">
        <v>225</v>
      </c>
      <c r="D25" s="68" t="s">
        <v>226</v>
      </c>
      <c r="E25" s="48" t="s">
        <v>96</v>
      </c>
      <c r="F25" s="69">
        <f t="shared" ref="F25:F31" si="0">IFERROR(ROUND(G25*VLOOKUP(E25,$M$2:$N$8,2,FALSE())/100,1),0)</f>
        <v>8.5</v>
      </c>
      <c r="G25" s="48">
        <v>10</v>
      </c>
      <c r="H25" s="47"/>
      <c r="I25" s="47"/>
      <c r="J25" s="70" t="s">
        <v>227</v>
      </c>
      <c r="K25" s="47"/>
      <c r="O25" s="55">
        <f t="shared" ref="O25:O31" si="1">IF(E25="Not Applicable",0,G25)</f>
        <v>10</v>
      </c>
    </row>
    <row r="26" spans="1:15" ht="336" customHeight="1" x14ac:dyDescent="0.45">
      <c r="A26" s="67" t="s">
        <v>228</v>
      </c>
      <c r="B26" s="47" t="s">
        <v>224</v>
      </c>
      <c r="C26" s="47" t="s">
        <v>229</v>
      </c>
      <c r="D26" s="68" t="s">
        <v>230</v>
      </c>
      <c r="E26" s="48" t="s">
        <v>98</v>
      </c>
      <c r="F26" s="69">
        <f t="shared" si="0"/>
        <v>3</v>
      </c>
      <c r="G26" s="48">
        <v>10</v>
      </c>
      <c r="H26" s="47"/>
      <c r="I26" s="47"/>
      <c r="J26" s="70" t="s">
        <v>231</v>
      </c>
      <c r="K26" s="47"/>
      <c r="O26" s="55">
        <f t="shared" si="1"/>
        <v>10</v>
      </c>
    </row>
    <row r="27" spans="1:15" ht="168" customHeight="1" x14ac:dyDescent="0.45">
      <c r="A27" s="67" t="s">
        <v>232</v>
      </c>
      <c r="B27" s="47" t="s">
        <v>224</v>
      </c>
      <c r="C27" s="47" t="s">
        <v>233</v>
      </c>
      <c r="D27" s="68" t="s">
        <v>234</v>
      </c>
      <c r="E27" s="48" t="s">
        <v>97</v>
      </c>
      <c r="F27" s="69">
        <f t="shared" si="0"/>
        <v>7</v>
      </c>
      <c r="G27" s="48">
        <v>10</v>
      </c>
      <c r="H27" s="47"/>
      <c r="I27" s="47"/>
      <c r="J27" s="70" t="s">
        <v>235</v>
      </c>
      <c r="K27" s="47"/>
      <c r="O27" s="55">
        <f t="shared" si="1"/>
        <v>10</v>
      </c>
    </row>
    <row r="28" spans="1:15" ht="156" customHeight="1" x14ac:dyDescent="0.45">
      <c r="A28" s="67" t="s">
        <v>236</v>
      </c>
      <c r="B28" s="47" t="s">
        <v>224</v>
      </c>
      <c r="C28" s="47" t="s">
        <v>237</v>
      </c>
      <c r="D28" s="68" t="s">
        <v>238</v>
      </c>
      <c r="E28" s="48" t="s">
        <v>99</v>
      </c>
      <c r="F28" s="69">
        <f t="shared" si="0"/>
        <v>0</v>
      </c>
      <c r="G28" s="48">
        <v>10</v>
      </c>
      <c r="H28" s="47"/>
      <c r="I28" s="47"/>
      <c r="J28" s="70" t="s">
        <v>239</v>
      </c>
      <c r="K28" s="47"/>
      <c r="O28" s="55">
        <f t="shared" si="1"/>
        <v>10</v>
      </c>
    </row>
    <row r="29" spans="1:15" ht="168" customHeight="1" x14ac:dyDescent="0.45">
      <c r="A29" s="67" t="s">
        <v>240</v>
      </c>
      <c r="B29" s="47" t="s">
        <v>224</v>
      </c>
      <c r="C29" s="47" t="s">
        <v>241</v>
      </c>
      <c r="D29" s="68" t="s">
        <v>242</v>
      </c>
      <c r="E29" s="48" t="s">
        <v>93</v>
      </c>
      <c r="F29" s="69">
        <f t="shared" si="0"/>
        <v>6</v>
      </c>
      <c r="G29" s="48">
        <v>6</v>
      </c>
      <c r="H29" s="47"/>
      <c r="I29" s="47"/>
      <c r="J29" s="70" t="s">
        <v>243</v>
      </c>
      <c r="K29" s="47"/>
      <c r="O29" s="55">
        <f t="shared" si="1"/>
        <v>6</v>
      </c>
    </row>
    <row r="30" spans="1:15" ht="132" customHeight="1" x14ac:dyDescent="0.45">
      <c r="A30" s="67" t="s">
        <v>244</v>
      </c>
      <c r="B30" s="47" t="s">
        <v>224</v>
      </c>
      <c r="C30" s="47" t="s">
        <v>245</v>
      </c>
      <c r="D30" s="68" t="s">
        <v>246</v>
      </c>
      <c r="E30" s="48" t="s">
        <v>94</v>
      </c>
      <c r="F30" s="69">
        <f t="shared" si="0"/>
        <v>6</v>
      </c>
      <c r="G30" s="48">
        <v>6</v>
      </c>
      <c r="H30" s="47"/>
      <c r="I30" s="47"/>
      <c r="J30" s="70" t="s">
        <v>247</v>
      </c>
      <c r="K30" s="47"/>
      <c r="O30" s="55">
        <f t="shared" si="1"/>
        <v>6</v>
      </c>
    </row>
    <row r="31" spans="1:15" ht="108" customHeight="1" x14ac:dyDescent="0.45">
      <c r="A31" s="67" t="s">
        <v>248</v>
      </c>
      <c r="B31" s="47" t="s">
        <v>224</v>
      </c>
      <c r="C31" s="47" t="s">
        <v>249</v>
      </c>
      <c r="D31" s="68" t="s">
        <v>250</v>
      </c>
      <c r="E31" s="48" t="s">
        <v>96</v>
      </c>
      <c r="F31" s="69">
        <f t="shared" si="0"/>
        <v>5.0999999999999996</v>
      </c>
      <c r="G31" s="48">
        <v>6</v>
      </c>
      <c r="H31" s="47"/>
      <c r="I31" s="47"/>
      <c r="J31" s="70" t="s">
        <v>251</v>
      </c>
      <c r="K31" s="47"/>
      <c r="O31" s="55">
        <f t="shared" si="1"/>
        <v>6</v>
      </c>
    </row>
    <row r="32" spans="1:15" ht="15.75" customHeight="1" x14ac:dyDescent="0.45">
      <c r="A32" s="120" t="s">
        <v>252</v>
      </c>
      <c r="B32" s="86"/>
      <c r="C32" s="86"/>
      <c r="D32" s="86"/>
      <c r="E32" s="86"/>
      <c r="F32" s="86"/>
      <c r="G32" s="86"/>
      <c r="H32" s="86"/>
      <c r="I32" s="86"/>
      <c r="J32" s="86"/>
      <c r="K32" s="86"/>
    </row>
    <row r="33" spans="1:15" ht="288" customHeight="1" x14ac:dyDescent="0.45">
      <c r="A33" s="67" t="s">
        <v>253</v>
      </c>
      <c r="B33" s="47" t="s">
        <v>254</v>
      </c>
      <c r="C33" s="47" t="s">
        <v>255</v>
      </c>
      <c r="D33" s="68" t="s">
        <v>256</v>
      </c>
      <c r="E33" s="48" t="s">
        <v>97</v>
      </c>
      <c r="F33" s="69">
        <f>IFERROR(ROUND(G33*VLOOKUP(E33,$M$2:$N$8,2,FALSE())/100,1),0)</f>
        <v>7</v>
      </c>
      <c r="G33" s="48">
        <v>10</v>
      </c>
      <c r="H33" s="47"/>
      <c r="I33" s="47"/>
      <c r="J33" s="70" t="s">
        <v>257</v>
      </c>
      <c r="K33" s="47"/>
      <c r="O33" s="55">
        <f>IF(E33="Not Applicable",0,G33)</f>
        <v>10</v>
      </c>
    </row>
    <row r="34" spans="1:15" ht="120" customHeight="1" x14ac:dyDescent="0.45">
      <c r="A34" s="67" t="s">
        <v>258</v>
      </c>
      <c r="B34" s="47" t="s">
        <v>254</v>
      </c>
      <c r="C34" s="47" t="s">
        <v>259</v>
      </c>
      <c r="D34" s="68" t="s">
        <v>260</v>
      </c>
      <c r="E34" s="48" t="s">
        <v>98</v>
      </c>
      <c r="F34" s="69">
        <f>IFERROR(ROUND(G34*VLOOKUP(E34,$M$2:$N$8,2,FALSE())/100,1),0)</f>
        <v>2.4</v>
      </c>
      <c r="G34" s="48">
        <v>8</v>
      </c>
      <c r="H34" s="47"/>
      <c r="I34" s="47"/>
      <c r="J34" s="70" t="s">
        <v>261</v>
      </c>
      <c r="K34" s="47"/>
      <c r="O34" s="55">
        <f>IF(E34="Not Applicable",0,G34)</f>
        <v>8</v>
      </c>
    </row>
    <row r="35" spans="1:15" ht="120" customHeight="1" x14ac:dyDescent="0.45">
      <c r="A35" s="67" t="s">
        <v>262</v>
      </c>
      <c r="B35" s="47" t="s">
        <v>254</v>
      </c>
      <c r="C35" s="47" t="s">
        <v>263</v>
      </c>
      <c r="D35" s="68" t="s">
        <v>264</v>
      </c>
      <c r="E35" s="48" t="s">
        <v>99</v>
      </c>
      <c r="F35" s="69">
        <f>IFERROR(ROUND(G35*VLOOKUP(E35,$M$2:$N$8,2,FALSE())/100,1),0)</f>
        <v>0</v>
      </c>
      <c r="G35" s="48">
        <v>6</v>
      </c>
      <c r="H35" s="47"/>
      <c r="I35" s="47"/>
      <c r="J35" s="70" t="s">
        <v>265</v>
      </c>
      <c r="K35" s="47"/>
      <c r="O35" s="55">
        <f>IF(E35="Not Applicable",0,G35)</f>
        <v>6</v>
      </c>
    </row>
    <row r="36" spans="1:15" ht="96" customHeight="1" x14ac:dyDescent="0.45">
      <c r="A36" s="67" t="s">
        <v>266</v>
      </c>
      <c r="B36" s="47" t="s">
        <v>254</v>
      </c>
      <c r="C36" s="47" t="s">
        <v>267</v>
      </c>
      <c r="D36" s="68" t="s">
        <v>268</v>
      </c>
      <c r="E36" s="48" t="s">
        <v>191</v>
      </c>
      <c r="F36" s="69">
        <f>IFERROR(ROUND(G36*VLOOKUP(E36,$M$2:$N$8,2,FALSE())/100,1),0)</f>
        <v>0</v>
      </c>
      <c r="G36" s="48">
        <v>6</v>
      </c>
      <c r="H36" s="47"/>
      <c r="I36" s="47"/>
      <c r="J36" s="70" t="s">
        <v>269</v>
      </c>
      <c r="K36" s="47"/>
      <c r="O36" s="55">
        <f>IF(E36="Not Applicable",0,G36)</f>
        <v>0</v>
      </c>
    </row>
    <row r="37" spans="1:15" ht="15.75" customHeight="1" x14ac:dyDescent="0.45">
      <c r="A37" s="120" t="s">
        <v>270</v>
      </c>
      <c r="B37" s="86"/>
      <c r="C37" s="86"/>
      <c r="D37" s="86"/>
      <c r="E37" s="86"/>
      <c r="F37" s="86"/>
      <c r="G37" s="86"/>
      <c r="H37" s="86"/>
      <c r="I37" s="86"/>
      <c r="J37" s="86"/>
      <c r="K37" s="86"/>
    </row>
    <row r="38" spans="1:15" ht="180" customHeight="1" x14ac:dyDescent="0.45">
      <c r="A38" s="67" t="s">
        <v>271</v>
      </c>
      <c r="B38" s="47" t="s">
        <v>272</v>
      </c>
      <c r="C38" s="47" t="s">
        <v>273</v>
      </c>
      <c r="D38" s="68" t="s">
        <v>274</v>
      </c>
      <c r="E38" s="48" t="s">
        <v>93</v>
      </c>
      <c r="F38" s="69">
        <f>IFERROR(ROUND(G38*VLOOKUP(E38,$M$2:$N$8,2,FALSE())/100,1),0)</f>
        <v>10</v>
      </c>
      <c r="G38" s="48">
        <v>10</v>
      </c>
      <c r="H38" s="47"/>
      <c r="I38" s="47"/>
      <c r="J38" s="70" t="s">
        <v>275</v>
      </c>
      <c r="K38" s="47"/>
      <c r="O38" s="55">
        <f>IF(E38="Not Applicable",0,G38)</f>
        <v>10</v>
      </c>
    </row>
    <row r="39" spans="1:15" ht="168" customHeight="1" x14ac:dyDescent="0.45">
      <c r="A39" s="67" t="s">
        <v>276</v>
      </c>
      <c r="B39" s="47" t="s">
        <v>272</v>
      </c>
      <c r="C39" s="47" t="s">
        <v>277</v>
      </c>
      <c r="D39" s="68" t="s">
        <v>278</v>
      </c>
      <c r="E39" s="48" t="s">
        <v>94</v>
      </c>
      <c r="F39" s="69">
        <f>IFERROR(ROUND(G39*VLOOKUP(E39,$M$2:$N$8,2,FALSE())/100,1),0)</f>
        <v>8</v>
      </c>
      <c r="G39" s="48">
        <v>8</v>
      </c>
      <c r="H39" s="47"/>
      <c r="I39" s="47"/>
      <c r="J39" s="70" t="s">
        <v>279</v>
      </c>
      <c r="K39" s="47"/>
      <c r="O39" s="55">
        <f>IF(E39="Not Applicable",0,G39)</f>
        <v>8</v>
      </c>
    </row>
    <row r="40" spans="1:15" ht="228" customHeight="1" x14ac:dyDescent="0.45">
      <c r="A40" s="67" t="s">
        <v>280</v>
      </c>
      <c r="B40" s="47" t="s">
        <v>272</v>
      </c>
      <c r="C40" s="47" t="s">
        <v>281</v>
      </c>
      <c r="D40" s="68" t="s">
        <v>282</v>
      </c>
      <c r="E40" s="48" t="s">
        <v>96</v>
      </c>
      <c r="F40" s="69">
        <f>IFERROR(ROUND(G40*VLOOKUP(E40,$M$2:$N$8,2,FALSE())/100,1),0)</f>
        <v>6.8</v>
      </c>
      <c r="G40" s="48">
        <v>8</v>
      </c>
      <c r="H40" s="47"/>
      <c r="I40" s="47"/>
      <c r="J40" s="70" t="s">
        <v>283</v>
      </c>
      <c r="K40" s="47"/>
      <c r="O40" s="55">
        <f>IF(E40="Not Applicable",0,G40)</f>
        <v>8</v>
      </c>
    </row>
    <row r="41" spans="1:15" ht="156" customHeight="1" x14ac:dyDescent="0.45">
      <c r="A41" s="67" t="s">
        <v>284</v>
      </c>
      <c r="B41" s="47" t="s">
        <v>272</v>
      </c>
      <c r="C41" s="47" t="s">
        <v>285</v>
      </c>
      <c r="D41" s="68" t="s">
        <v>286</v>
      </c>
      <c r="E41" s="48" t="s">
        <v>97</v>
      </c>
      <c r="F41" s="69">
        <f>IFERROR(ROUND(G41*VLOOKUP(E41,$M$2:$N$8,2,FALSE())/100,1),0)</f>
        <v>5.6</v>
      </c>
      <c r="G41" s="48">
        <v>8</v>
      </c>
      <c r="H41" s="47"/>
      <c r="I41" s="47"/>
      <c r="J41" s="70" t="s">
        <v>287</v>
      </c>
      <c r="K41" s="47"/>
      <c r="O41" s="55">
        <f>IF(E41="Not Applicable",0,G41)</f>
        <v>8</v>
      </c>
    </row>
    <row r="42" spans="1:15" ht="15.75" customHeight="1" x14ac:dyDescent="0.45">
      <c r="A42" s="120" t="s">
        <v>288</v>
      </c>
      <c r="B42" s="86"/>
      <c r="C42" s="86"/>
      <c r="D42" s="86"/>
      <c r="E42" s="86"/>
      <c r="F42" s="86"/>
      <c r="G42" s="86"/>
      <c r="H42" s="86"/>
      <c r="I42" s="86"/>
      <c r="J42" s="86"/>
      <c r="K42" s="86"/>
    </row>
    <row r="43" spans="1:15" ht="132" customHeight="1" x14ac:dyDescent="0.45">
      <c r="A43" s="67" t="s">
        <v>289</v>
      </c>
      <c r="B43" s="47" t="s">
        <v>290</v>
      </c>
      <c r="C43" s="47" t="s">
        <v>291</v>
      </c>
      <c r="D43" s="68" t="s">
        <v>292</v>
      </c>
      <c r="E43" s="48" t="s">
        <v>98</v>
      </c>
      <c r="F43" s="69">
        <f>IFERROR(ROUND(G43*VLOOKUP(E43,$M$2:$N$8,2,FALSE())/100,1),0)</f>
        <v>2.4</v>
      </c>
      <c r="G43" s="48">
        <v>8</v>
      </c>
      <c r="H43" s="47"/>
      <c r="I43" s="47"/>
      <c r="J43" s="70" t="s">
        <v>293</v>
      </c>
      <c r="K43" s="47"/>
      <c r="O43" s="55">
        <f>IF(E43="Not Applicable",0,G43)</f>
        <v>8</v>
      </c>
    </row>
    <row r="44" spans="1:15" ht="132" customHeight="1" x14ac:dyDescent="0.45">
      <c r="A44" s="67" t="s">
        <v>294</v>
      </c>
      <c r="B44" s="47" t="s">
        <v>290</v>
      </c>
      <c r="C44" s="47" t="s">
        <v>295</v>
      </c>
      <c r="D44" s="68" t="s">
        <v>296</v>
      </c>
      <c r="E44" s="48" t="s">
        <v>99</v>
      </c>
      <c r="F44" s="69">
        <f>IFERROR(ROUND(G44*VLOOKUP(E44,$M$2:$N$8,2,FALSE())/100,1),0)</f>
        <v>0</v>
      </c>
      <c r="G44" s="48">
        <v>8</v>
      </c>
      <c r="H44" s="47"/>
      <c r="I44" s="47"/>
      <c r="J44" s="70" t="s">
        <v>297</v>
      </c>
      <c r="K44" s="47"/>
      <c r="O44" s="55">
        <f>IF(E44="Not Applicable",0,G44)</f>
        <v>8</v>
      </c>
    </row>
    <row r="45" spans="1:15" ht="156" customHeight="1" x14ac:dyDescent="0.45">
      <c r="A45" s="67" t="s">
        <v>298</v>
      </c>
      <c r="B45" s="47" t="s">
        <v>290</v>
      </c>
      <c r="C45" s="47" t="s">
        <v>299</v>
      </c>
      <c r="D45" s="68" t="s">
        <v>300</v>
      </c>
      <c r="E45" s="48" t="s">
        <v>191</v>
      </c>
      <c r="F45" s="69">
        <f>IFERROR(ROUND(G45*VLOOKUP(E45,$M$2:$N$8,2,FALSE())/100,1),0)</f>
        <v>0</v>
      </c>
      <c r="G45" s="48">
        <v>8</v>
      </c>
      <c r="H45" s="47"/>
      <c r="I45" s="47"/>
      <c r="J45" s="70" t="s">
        <v>301</v>
      </c>
      <c r="K45" s="47"/>
      <c r="O45" s="55">
        <f>IF(E45="Not Applicable",0,G45)</f>
        <v>0</v>
      </c>
    </row>
    <row r="46" spans="1:15" ht="84" customHeight="1" x14ac:dyDescent="0.45">
      <c r="A46" s="67" t="s">
        <v>302</v>
      </c>
      <c r="B46" s="47" t="s">
        <v>290</v>
      </c>
      <c r="C46" s="47" t="s">
        <v>303</v>
      </c>
      <c r="D46" s="68" t="s">
        <v>304</v>
      </c>
      <c r="E46" s="48" t="s">
        <v>93</v>
      </c>
      <c r="F46" s="69">
        <f>IFERROR(ROUND(G46*VLOOKUP(E46,$M$2:$N$8,2,FALSE())/100,1),0)</f>
        <v>6</v>
      </c>
      <c r="G46" s="48">
        <v>6</v>
      </c>
      <c r="H46" s="47"/>
      <c r="I46" s="47"/>
      <c r="J46" s="70" t="s">
        <v>305</v>
      </c>
      <c r="K46" s="47"/>
      <c r="O46" s="55">
        <f>IF(E46="Not Applicable",0,G46)</f>
        <v>6</v>
      </c>
    </row>
    <row r="47" spans="1:15" ht="15.75" customHeight="1" x14ac:dyDescent="0.45">
      <c r="A47" s="120" t="s">
        <v>306</v>
      </c>
      <c r="B47" s="86"/>
      <c r="C47" s="86"/>
      <c r="D47" s="86"/>
      <c r="E47" s="86"/>
      <c r="F47" s="86"/>
      <c r="G47" s="86"/>
      <c r="H47" s="86"/>
      <c r="I47" s="86"/>
      <c r="J47" s="86"/>
      <c r="K47" s="86"/>
    </row>
    <row r="48" spans="1:15" ht="108" customHeight="1" x14ac:dyDescent="0.45">
      <c r="A48" s="67" t="s">
        <v>307</v>
      </c>
      <c r="B48" s="47" t="s">
        <v>308</v>
      </c>
      <c r="C48" s="47" t="s">
        <v>309</v>
      </c>
      <c r="D48" s="68" t="s">
        <v>310</v>
      </c>
      <c r="E48" s="48" t="s">
        <v>94</v>
      </c>
      <c r="F48" s="69">
        <f>IFERROR(ROUND(G48*VLOOKUP(E48,$M$2:$N$8,2,FALSE())/100,1),0)</f>
        <v>8</v>
      </c>
      <c r="G48" s="48">
        <v>8</v>
      </c>
      <c r="H48" s="47"/>
      <c r="I48" s="47"/>
      <c r="J48" s="70" t="s">
        <v>311</v>
      </c>
      <c r="K48" s="47"/>
      <c r="O48" s="55">
        <f>IF(E48="Not Applicable",0,G48)</f>
        <v>8</v>
      </c>
    </row>
  </sheetData>
  <mergeCells count="14">
    <mergeCell ref="A1:K1"/>
    <mergeCell ref="B4:C4"/>
    <mergeCell ref="A37:K37"/>
    <mergeCell ref="G15:H15"/>
    <mergeCell ref="A24:K24"/>
    <mergeCell ref="A2:K2"/>
    <mergeCell ref="A47:K47"/>
    <mergeCell ref="A42:K42"/>
    <mergeCell ref="A32:K32"/>
    <mergeCell ref="A6:K6"/>
    <mergeCell ref="E4:F4"/>
    <mergeCell ref="A22:K22"/>
    <mergeCell ref="A18:K18"/>
    <mergeCell ref="H4:K4"/>
  </mergeCells>
  <conditionalFormatting sqref="E18:E48">
    <cfRule type="cellIs" dxfId="215" priority="2" operator="equal">
      <formula>"Best Practice"</formula>
    </cfRule>
    <cfRule type="cellIs" dxfId="214" priority="3" operator="equal">
      <formula>"Verified"</formula>
    </cfRule>
    <cfRule type="cellIs" dxfId="213" priority="4" operator="equal">
      <formula>"Low"</formula>
    </cfRule>
    <cfRule type="cellIs" dxfId="212" priority="5" operator="equal">
      <formula>"Moderate"</formula>
    </cfRule>
    <cfRule type="cellIs" dxfId="211" priority="6" operator="equal">
      <formula>"High"</formula>
    </cfRule>
    <cfRule type="cellIs" dxfId="210" priority="7" operator="equal">
      <formula>"Very High"</formula>
    </cfRule>
    <cfRule type="cellIs" dxfId="209" priority="8" operator="equal">
      <formula>"Not Applicable"</formula>
    </cfRule>
  </conditionalFormatting>
  <conditionalFormatting sqref="G15:H15">
    <cfRule type="cellIs" dxfId="208" priority="9" operator="equal">
      <formula>"Excellence Leader"</formula>
    </cfRule>
    <cfRule type="cellIs" dxfId="207" priority="10" operator="equal">
      <formula>"Gold"</formula>
    </cfRule>
    <cfRule type="cellIs" dxfId="206" priority="11" operator="equal">
      <formula>"Silver"</formula>
    </cfRule>
    <cfRule type="cellIs" dxfId="205" priority="12" operator="equal">
      <formula>"Bronze"</formula>
    </cfRule>
    <cfRule type="cellIs" dxfId="204" priority="13" operator="equal">
      <formula>"Developing"</formula>
    </cfRule>
  </conditionalFormatting>
  <dataValidations count="1">
    <dataValidation type="list" sqref="E19:E21 E23 E25:E31 E33:E36 E38:E41 E43:E46 E48" xr:uid="{00000000-0002-0000-04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1"/>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1.9296875" customWidth="1"/>
    <col min="7" max="7" width="11.6640625"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312</v>
      </c>
      <c r="B1" s="86"/>
      <c r="C1" s="86"/>
      <c r="D1" s="86"/>
      <c r="E1" s="86"/>
      <c r="F1" s="86"/>
      <c r="G1" s="86"/>
      <c r="H1" s="86"/>
      <c r="I1" s="86"/>
      <c r="J1" s="86"/>
      <c r="K1" s="86"/>
      <c r="M1" s="54" t="s">
        <v>90</v>
      </c>
      <c r="N1" s="54" t="s">
        <v>185</v>
      </c>
    </row>
    <row r="2" spans="1:14" ht="15.75" customHeight="1" x14ac:dyDescent="0.45">
      <c r="A2" s="122" t="s">
        <v>313</v>
      </c>
      <c r="B2" s="86"/>
      <c r="C2" s="86"/>
      <c r="D2" s="86"/>
      <c r="E2" s="86"/>
      <c r="F2" s="86"/>
      <c r="G2" s="86"/>
      <c r="H2" s="86"/>
      <c r="I2" s="86"/>
      <c r="J2" s="86"/>
      <c r="K2" s="86"/>
      <c r="M2" s="55" t="s">
        <v>93</v>
      </c>
      <c r="N2" s="55">
        <v>100</v>
      </c>
    </row>
    <row r="3" spans="1:14" ht="14.2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4.2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39" customHeight="1" x14ac:dyDescent="0.55000000000000004">
      <c r="A8" s="59" t="s">
        <v>190</v>
      </c>
      <c r="B8" s="60">
        <f>SUM(F18:F51)</f>
        <v>0</v>
      </c>
      <c r="C8" s="60">
        <f>SUM(O18:O51)</f>
        <v>193</v>
      </c>
      <c r="D8" s="61">
        <f>IF(C8&lt;&gt;0,B8/C8,"N/A")</f>
        <v>0</v>
      </c>
      <c r="F8" s="47" t="s">
        <v>93</v>
      </c>
      <c r="G8" s="62">
        <f>COUNTIF(E18:E51,"Best Practice")</f>
        <v>0</v>
      </c>
      <c r="M8" s="55" t="s">
        <v>191</v>
      </c>
      <c r="N8" s="55">
        <v>0</v>
      </c>
    </row>
    <row r="9" spans="1:14" ht="26.25" customHeight="1" x14ac:dyDescent="0.45">
      <c r="F9" s="47" t="s">
        <v>94</v>
      </c>
      <c r="G9" s="62">
        <f>COUNTIF(E18:E51,"Verified")</f>
        <v>0</v>
      </c>
    </row>
    <row r="10" spans="1:14" ht="14.25" customHeight="1" x14ac:dyDescent="0.45">
      <c r="F10" s="47" t="s">
        <v>96</v>
      </c>
      <c r="G10" s="62">
        <f>COUNTIF(E18:E51,"Low")</f>
        <v>0</v>
      </c>
    </row>
    <row r="11" spans="1:14" ht="26.25" customHeight="1" x14ac:dyDescent="0.45">
      <c r="F11" s="47" t="s">
        <v>97</v>
      </c>
      <c r="G11" s="62">
        <f>COUNTIF(E18:E51,"Moderate")</f>
        <v>0</v>
      </c>
    </row>
    <row r="12" spans="1:14" ht="14.25" customHeight="1" x14ac:dyDescent="0.45">
      <c r="F12" s="47" t="s">
        <v>98</v>
      </c>
      <c r="G12" s="62">
        <f>COUNTIF(E18:E51,"High")</f>
        <v>0</v>
      </c>
    </row>
    <row r="13" spans="1:14" ht="26.25" customHeight="1" x14ac:dyDescent="0.45">
      <c r="F13" s="47" t="s">
        <v>99</v>
      </c>
      <c r="G13" s="62">
        <f>COUNTIF(E18:E51,"Very High")</f>
        <v>0</v>
      </c>
    </row>
    <row r="14" spans="1:14" ht="39" customHeight="1" x14ac:dyDescent="0.45">
      <c r="F14" s="47" t="s">
        <v>191</v>
      </c>
      <c r="G14" s="62">
        <f>COUNTIF(E18:E51,"Not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314</v>
      </c>
      <c r="B18" s="86"/>
      <c r="C18" s="86"/>
      <c r="D18" s="86"/>
      <c r="E18" s="86"/>
      <c r="F18" s="86"/>
      <c r="G18" s="86"/>
      <c r="H18" s="86"/>
      <c r="I18" s="86"/>
      <c r="J18" s="86"/>
      <c r="K18" s="86"/>
    </row>
    <row r="19" spans="1:15" ht="84" customHeight="1" x14ac:dyDescent="0.45">
      <c r="A19" s="67" t="s">
        <v>315</v>
      </c>
      <c r="B19" s="47" t="s">
        <v>316</v>
      </c>
      <c r="C19" s="47" t="s">
        <v>317</v>
      </c>
      <c r="D19" s="68" t="s">
        <v>318</v>
      </c>
      <c r="E19" s="48" t="s">
        <v>319</v>
      </c>
      <c r="F19" s="69">
        <f>IFERROR(ROUND(G19*VLOOKUP(E19,$M$2:$N$8,2,FALSE())/100,1),0)</f>
        <v>0</v>
      </c>
      <c r="G19" s="48">
        <v>10</v>
      </c>
      <c r="H19" s="47"/>
      <c r="I19" s="47"/>
      <c r="J19" s="70" t="s">
        <v>320</v>
      </c>
      <c r="K19" s="47"/>
      <c r="O19" s="55">
        <f>IF(E19="Not Applicable",0,G19)</f>
        <v>10</v>
      </c>
    </row>
    <row r="20" spans="1:15" ht="108" customHeight="1" x14ac:dyDescent="0.45">
      <c r="A20" s="67" t="s">
        <v>321</v>
      </c>
      <c r="B20" s="47" t="s">
        <v>316</v>
      </c>
      <c r="C20" s="47" t="s">
        <v>322</v>
      </c>
      <c r="D20" s="68" t="s">
        <v>323</v>
      </c>
      <c r="E20" s="48" t="s">
        <v>319</v>
      </c>
      <c r="F20" s="69">
        <f>IFERROR(ROUND(G20*VLOOKUP(E20,$M$2:$N$8,2,FALSE())/100,1),0)</f>
        <v>0</v>
      </c>
      <c r="G20" s="48">
        <v>6</v>
      </c>
      <c r="H20" s="47"/>
      <c r="I20" s="47"/>
      <c r="J20" s="70" t="s">
        <v>324</v>
      </c>
      <c r="K20" s="47"/>
      <c r="O20" s="55">
        <f>IF(E20="Not Applicable",0,G20)</f>
        <v>6</v>
      </c>
    </row>
    <row r="21" spans="1:15" ht="72" customHeight="1" x14ac:dyDescent="0.45">
      <c r="A21" s="67" t="s">
        <v>325</v>
      </c>
      <c r="B21" s="47" t="s">
        <v>316</v>
      </c>
      <c r="C21" s="47" t="s">
        <v>326</v>
      </c>
      <c r="D21" s="68" t="s">
        <v>327</v>
      </c>
      <c r="E21" s="48" t="s">
        <v>319</v>
      </c>
      <c r="F21" s="69">
        <f>IFERROR(ROUND(G21*VLOOKUP(E21,$M$2:$N$8,2,FALSE())/100,1),0)</f>
        <v>0</v>
      </c>
      <c r="G21" s="48">
        <v>4</v>
      </c>
      <c r="H21" s="47"/>
      <c r="I21" s="47"/>
      <c r="J21" s="70" t="s">
        <v>328</v>
      </c>
      <c r="K21" s="47"/>
      <c r="O21" s="55">
        <f>IF(E21="Not Applicable",0,G21)</f>
        <v>4</v>
      </c>
    </row>
    <row r="22" spans="1:15" ht="120" customHeight="1" x14ac:dyDescent="0.45">
      <c r="A22" s="67" t="s">
        <v>329</v>
      </c>
      <c r="B22" s="47" t="s">
        <v>316</v>
      </c>
      <c r="C22" s="47" t="s">
        <v>330</v>
      </c>
      <c r="D22" s="68" t="s">
        <v>331</v>
      </c>
      <c r="E22" s="48" t="s">
        <v>319</v>
      </c>
      <c r="F22" s="69">
        <f>IFERROR(ROUND(G22*VLOOKUP(E22,$M$2:$N$8,2,FALSE())/100,1),0)</f>
        <v>0</v>
      </c>
      <c r="G22" s="48">
        <v>10</v>
      </c>
      <c r="H22" s="47"/>
      <c r="I22" s="47"/>
      <c r="J22" s="70" t="s">
        <v>332</v>
      </c>
      <c r="K22" s="47"/>
      <c r="O22" s="55">
        <f>IF(E22="Not Applicable",0,G22)</f>
        <v>10</v>
      </c>
    </row>
    <row r="23" spans="1:15" ht="108" customHeight="1" x14ac:dyDescent="0.45">
      <c r="A23" s="67" t="s">
        <v>333</v>
      </c>
      <c r="B23" s="47" t="s">
        <v>316</v>
      </c>
      <c r="C23" s="47" t="s">
        <v>334</v>
      </c>
      <c r="D23" s="68" t="s">
        <v>335</v>
      </c>
      <c r="E23" s="48" t="s">
        <v>319</v>
      </c>
      <c r="F23" s="69">
        <f>IFERROR(ROUND(G23*VLOOKUP(E23,$M$2:$N$8,2,FALSE())/100,1),0)</f>
        <v>0</v>
      </c>
      <c r="G23" s="48">
        <v>10</v>
      </c>
      <c r="H23" s="47"/>
      <c r="I23" s="47"/>
      <c r="J23" s="70" t="s">
        <v>336</v>
      </c>
      <c r="K23" s="47"/>
      <c r="O23" s="55">
        <f>IF(E23="Not Applicable",0,G23)</f>
        <v>10</v>
      </c>
    </row>
    <row r="24" spans="1:15" ht="15.75" customHeight="1" x14ac:dyDescent="0.45">
      <c r="A24" s="120" t="s">
        <v>337</v>
      </c>
      <c r="B24" s="86"/>
      <c r="C24" s="86"/>
      <c r="D24" s="86"/>
      <c r="E24" s="86"/>
      <c r="F24" s="86"/>
      <c r="G24" s="86"/>
      <c r="H24" s="86"/>
      <c r="I24" s="86"/>
      <c r="J24" s="86"/>
      <c r="K24" s="86"/>
    </row>
    <row r="25" spans="1:15" ht="192" customHeight="1" x14ac:dyDescent="0.45">
      <c r="A25" s="67" t="s">
        <v>338</v>
      </c>
      <c r="B25" s="47" t="s">
        <v>339</v>
      </c>
      <c r="C25" s="47" t="s">
        <v>340</v>
      </c>
      <c r="D25" s="68" t="s">
        <v>341</v>
      </c>
      <c r="E25" s="48" t="s">
        <v>319</v>
      </c>
      <c r="F25" s="69">
        <f>IFERROR(ROUND(G25*VLOOKUP(E25,$M$2:$N$8,2,FALSE())/100,1),0)</f>
        <v>0</v>
      </c>
      <c r="G25" s="48">
        <v>8</v>
      </c>
      <c r="H25" s="47"/>
      <c r="I25" s="47"/>
      <c r="J25" s="70" t="s">
        <v>342</v>
      </c>
      <c r="K25" s="47"/>
      <c r="O25" s="55">
        <f>IF(E25="Not Applicable",0,G25)</f>
        <v>8</v>
      </c>
    </row>
    <row r="26" spans="1:15" ht="84" customHeight="1" x14ac:dyDescent="0.45">
      <c r="A26" s="67" t="s">
        <v>343</v>
      </c>
      <c r="B26" s="47" t="s">
        <v>339</v>
      </c>
      <c r="C26" s="47" t="s">
        <v>344</v>
      </c>
      <c r="D26" s="68" t="s">
        <v>345</v>
      </c>
      <c r="E26" s="48" t="s">
        <v>319</v>
      </c>
      <c r="F26" s="69">
        <f>IFERROR(ROUND(G26*VLOOKUP(E26,$M$2:$N$8,2,FALSE())/100,1),0)</f>
        <v>0</v>
      </c>
      <c r="G26" s="48">
        <v>6</v>
      </c>
      <c r="H26" s="47"/>
      <c r="I26" s="47"/>
      <c r="J26" s="70" t="s">
        <v>346</v>
      </c>
      <c r="K26" s="47"/>
      <c r="O26" s="55">
        <f>IF(E26="Not Applicable",0,G26)</f>
        <v>6</v>
      </c>
    </row>
    <row r="27" spans="1:15" ht="120" customHeight="1" x14ac:dyDescent="0.45">
      <c r="A27" s="67" t="s">
        <v>347</v>
      </c>
      <c r="B27" s="47" t="s">
        <v>339</v>
      </c>
      <c r="C27" s="47" t="s">
        <v>348</v>
      </c>
      <c r="D27" s="68" t="s">
        <v>349</v>
      </c>
      <c r="E27" s="48" t="s">
        <v>319</v>
      </c>
      <c r="F27" s="69">
        <f>IFERROR(ROUND(G27*VLOOKUP(E27,$M$2:$N$8,2,FALSE())/100,1),0)</f>
        <v>0</v>
      </c>
      <c r="G27" s="48">
        <v>6</v>
      </c>
      <c r="H27" s="47"/>
      <c r="I27" s="47"/>
      <c r="J27" s="70" t="s">
        <v>350</v>
      </c>
      <c r="K27" s="47"/>
      <c r="O27" s="55">
        <f>IF(E27="Not Applicable",0,G27)</f>
        <v>6</v>
      </c>
    </row>
    <row r="28" spans="1:15" ht="15.75" customHeight="1" x14ac:dyDescent="0.45">
      <c r="A28" s="120" t="s">
        <v>351</v>
      </c>
      <c r="B28" s="86"/>
      <c r="C28" s="86"/>
      <c r="D28" s="86"/>
      <c r="E28" s="86"/>
      <c r="F28" s="86"/>
      <c r="G28" s="86"/>
      <c r="H28" s="86"/>
      <c r="I28" s="86"/>
      <c r="J28" s="86"/>
      <c r="K28" s="86"/>
    </row>
    <row r="29" spans="1:15" ht="120" customHeight="1" x14ac:dyDescent="0.45">
      <c r="A29" s="67" t="s">
        <v>352</v>
      </c>
      <c r="B29" s="47" t="s">
        <v>353</v>
      </c>
      <c r="C29" s="47" t="s">
        <v>354</v>
      </c>
      <c r="D29" s="68" t="s">
        <v>355</v>
      </c>
      <c r="E29" s="48" t="s">
        <v>319</v>
      </c>
      <c r="F29" s="69">
        <f>IFERROR(ROUND(G29*VLOOKUP(E29,$M$2:$N$8,2,FALSE())/100,1),0)</f>
        <v>0</v>
      </c>
      <c r="G29" s="48">
        <v>8</v>
      </c>
      <c r="H29" s="47"/>
      <c r="I29" s="47"/>
      <c r="J29" s="70" t="s">
        <v>356</v>
      </c>
      <c r="K29" s="47"/>
      <c r="O29" s="55">
        <f>IF(E29="Not Applicable",0,G29)</f>
        <v>8</v>
      </c>
    </row>
    <row r="30" spans="1:15" ht="120" customHeight="1" x14ac:dyDescent="0.45">
      <c r="A30" s="67" t="s">
        <v>357</v>
      </c>
      <c r="B30" s="47" t="s">
        <v>353</v>
      </c>
      <c r="C30" s="47" t="s">
        <v>358</v>
      </c>
      <c r="D30" s="68" t="s">
        <v>359</v>
      </c>
      <c r="E30" s="48" t="s">
        <v>319</v>
      </c>
      <c r="F30" s="69">
        <f>IFERROR(ROUND(G30*VLOOKUP(E30,$M$2:$N$8,2,FALSE())/100,1),0)</f>
        <v>0</v>
      </c>
      <c r="G30" s="48">
        <v>6</v>
      </c>
      <c r="H30" s="47"/>
      <c r="I30" s="47"/>
      <c r="J30" s="70" t="s">
        <v>360</v>
      </c>
      <c r="K30" s="47"/>
      <c r="O30" s="55">
        <f>IF(E30="Not Applicable",0,G30)</f>
        <v>6</v>
      </c>
    </row>
    <row r="31" spans="1:15" ht="15.75" customHeight="1" x14ac:dyDescent="0.45">
      <c r="A31" s="120" t="s">
        <v>361</v>
      </c>
      <c r="B31" s="86"/>
      <c r="C31" s="86"/>
      <c r="D31" s="86"/>
      <c r="E31" s="86"/>
      <c r="F31" s="86"/>
      <c r="G31" s="86"/>
      <c r="H31" s="86"/>
      <c r="I31" s="86"/>
      <c r="J31" s="86"/>
      <c r="K31" s="86"/>
    </row>
    <row r="32" spans="1:15" ht="108" customHeight="1" x14ac:dyDescent="0.45">
      <c r="A32" s="67" t="s">
        <v>362</v>
      </c>
      <c r="B32" s="47" t="s">
        <v>363</v>
      </c>
      <c r="C32" s="47" t="s">
        <v>364</v>
      </c>
      <c r="D32" s="68" t="s">
        <v>365</v>
      </c>
      <c r="E32" s="48" t="s">
        <v>319</v>
      </c>
      <c r="F32" s="69">
        <f>IFERROR(ROUND(G32*VLOOKUP(E32,$M$2:$N$8,2,FALSE())/100,1),0)</f>
        <v>0</v>
      </c>
      <c r="G32" s="48">
        <v>8</v>
      </c>
      <c r="H32" s="47"/>
      <c r="I32" s="47"/>
      <c r="J32" s="70" t="s">
        <v>366</v>
      </c>
      <c r="K32" s="47"/>
      <c r="O32" s="55">
        <f>IF(E32="Not Applicable",0,G32)</f>
        <v>8</v>
      </c>
    </row>
    <row r="33" spans="1:15" ht="108" customHeight="1" x14ac:dyDescent="0.45">
      <c r="A33" s="67" t="s">
        <v>367</v>
      </c>
      <c r="B33" s="47" t="s">
        <v>363</v>
      </c>
      <c r="C33" s="47" t="s">
        <v>368</v>
      </c>
      <c r="D33" s="68" t="s">
        <v>369</v>
      </c>
      <c r="E33" s="48" t="s">
        <v>319</v>
      </c>
      <c r="F33" s="69">
        <f>IFERROR(ROUND(G33*VLOOKUP(E33,$M$2:$N$8,2,FALSE())/100,1),0)</f>
        <v>0</v>
      </c>
      <c r="G33" s="48">
        <v>5</v>
      </c>
      <c r="H33" s="47"/>
      <c r="I33" s="47"/>
      <c r="J33" s="70" t="s">
        <v>370</v>
      </c>
      <c r="K33" s="47"/>
      <c r="O33" s="55">
        <f>IF(E33="Not Applicable",0,G33)</f>
        <v>5</v>
      </c>
    </row>
    <row r="34" spans="1:15" ht="15.75" customHeight="1" x14ac:dyDescent="0.45">
      <c r="A34" s="120" t="s">
        <v>371</v>
      </c>
      <c r="B34" s="86"/>
      <c r="C34" s="86"/>
      <c r="D34" s="86"/>
      <c r="E34" s="86"/>
      <c r="F34" s="86"/>
      <c r="G34" s="86"/>
      <c r="H34" s="86"/>
      <c r="I34" s="86"/>
      <c r="J34" s="86"/>
      <c r="K34" s="86"/>
    </row>
    <row r="35" spans="1:15" ht="120" customHeight="1" x14ac:dyDescent="0.45">
      <c r="A35" s="67" t="s">
        <v>372</v>
      </c>
      <c r="B35" s="47" t="s">
        <v>373</v>
      </c>
      <c r="C35" s="47" t="s">
        <v>374</v>
      </c>
      <c r="D35" s="68" t="s">
        <v>375</v>
      </c>
      <c r="E35" s="48" t="s">
        <v>319</v>
      </c>
      <c r="F35" s="69">
        <f>IFERROR(ROUND(G35*VLOOKUP(E35,$M$2:$N$8,2,FALSE())/100,1),0)</f>
        <v>0</v>
      </c>
      <c r="G35" s="48">
        <v>6</v>
      </c>
      <c r="H35" s="47"/>
      <c r="I35" s="47"/>
      <c r="J35" s="70" t="s">
        <v>376</v>
      </c>
      <c r="K35" s="47"/>
      <c r="O35" s="55">
        <f>IF(E35="Not Applicable",0,G35)</f>
        <v>6</v>
      </c>
    </row>
    <row r="36" spans="1:15" ht="132" customHeight="1" x14ac:dyDescent="0.45">
      <c r="A36" s="67" t="s">
        <v>377</v>
      </c>
      <c r="B36" s="47" t="s">
        <v>373</v>
      </c>
      <c r="C36" s="47" t="s">
        <v>378</v>
      </c>
      <c r="D36" s="68" t="s">
        <v>379</v>
      </c>
      <c r="E36" s="48" t="s">
        <v>319</v>
      </c>
      <c r="F36" s="69">
        <f>IFERROR(ROUND(G36*VLOOKUP(E36,$M$2:$N$8,2,FALSE())/100,1),0)</f>
        <v>0</v>
      </c>
      <c r="G36" s="48">
        <v>8</v>
      </c>
      <c r="H36" s="47"/>
      <c r="I36" s="47"/>
      <c r="J36" s="70" t="s">
        <v>380</v>
      </c>
      <c r="K36" s="47"/>
      <c r="O36" s="55">
        <f>IF(E36="Not Applicable",0,G36)</f>
        <v>8</v>
      </c>
    </row>
    <row r="37" spans="1:15" ht="15.75" customHeight="1" x14ac:dyDescent="0.45">
      <c r="A37" s="120" t="s">
        <v>381</v>
      </c>
      <c r="B37" s="86"/>
      <c r="C37" s="86"/>
      <c r="D37" s="86"/>
      <c r="E37" s="86"/>
      <c r="F37" s="86"/>
      <c r="G37" s="86"/>
      <c r="H37" s="86"/>
      <c r="I37" s="86"/>
      <c r="J37" s="86"/>
      <c r="K37" s="86"/>
    </row>
    <row r="38" spans="1:15" ht="120" customHeight="1" x14ac:dyDescent="0.45">
      <c r="A38" s="67" t="s">
        <v>382</v>
      </c>
      <c r="B38" s="47" t="s">
        <v>383</v>
      </c>
      <c r="C38" s="47" t="s">
        <v>384</v>
      </c>
      <c r="D38" s="68" t="s">
        <v>385</v>
      </c>
      <c r="E38" s="48" t="s">
        <v>319</v>
      </c>
      <c r="F38" s="69">
        <f>IFERROR(ROUND(G38*VLOOKUP(E38,$M$2:$N$8,2,FALSE())/100,1),0)</f>
        <v>0</v>
      </c>
      <c r="G38" s="48">
        <v>8</v>
      </c>
      <c r="H38" s="47"/>
      <c r="I38" s="47"/>
      <c r="J38" s="70" t="s">
        <v>386</v>
      </c>
      <c r="K38" s="47"/>
      <c r="O38" s="55">
        <f>IF(E38="Not Applicable",0,G38)</f>
        <v>8</v>
      </c>
    </row>
    <row r="39" spans="1:15" ht="15.75" customHeight="1" x14ac:dyDescent="0.45">
      <c r="A39" s="120" t="s">
        <v>387</v>
      </c>
      <c r="B39" s="86"/>
      <c r="C39" s="86"/>
      <c r="D39" s="86"/>
      <c r="E39" s="86"/>
      <c r="F39" s="86"/>
      <c r="G39" s="86"/>
      <c r="H39" s="86"/>
      <c r="I39" s="86"/>
      <c r="J39" s="86"/>
      <c r="K39" s="86"/>
    </row>
    <row r="40" spans="1:15" ht="240" customHeight="1" x14ac:dyDescent="0.45">
      <c r="A40" s="67" t="s">
        <v>388</v>
      </c>
      <c r="B40" s="47" t="s">
        <v>389</v>
      </c>
      <c r="C40" s="47" t="s">
        <v>390</v>
      </c>
      <c r="D40" s="68" t="s">
        <v>391</v>
      </c>
      <c r="E40" s="48" t="s">
        <v>319</v>
      </c>
      <c r="F40" s="69">
        <f t="shared" ref="F40:F47" si="0">IFERROR(ROUND(G40*VLOOKUP(E40,$M$2:$N$8,2,FALSE())/100,1),0)</f>
        <v>0</v>
      </c>
      <c r="G40" s="48">
        <v>10</v>
      </c>
      <c r="H40" s="47"/>
      <c r="I40" s="47"/>
      <c r="J40" s="70" t="s">
        <v>392</v>
      </c>
      <c r="K40" s="47"/>
      <c r="O40" s="55">
        <f t="shared" ref="O40:O47" si="1">IF(E40="Not Applicable",0,G40)</f>
        <v>10</v>
      </c>
    </row>
    <row r="41" spans="1:15" ht="60" customHeight="1" x14ac:dyDescent="0.45">
      <c r="A41" s="67" t="s">
        <v>393</v>
      </c>
      <c r="B41" s="47" t="s">
        <v>389</v>
      </c>
      <c r="C41" s="47" t="s">
        <v>394</v>
      </c>
      <c r="D41" s="68" t="s">
        <v>395</v>
      </c>
      <c r="E41" s="48" t="s">
        <v>319</v>
      </c>
      <c r="F41" s="69">
        <f t="shared" si="0"/>
        <v>0</v>
      </c>
      <c r="G41" s="48">
        <v>5</v>
      </c>
      <c r="H41" s="47"/>
      <c r="I41" s="47"/>
      <c r="J41" s="70" t="s">
        <v>396</v>
      </c>
      <c r="K41" s="47"/>
      <c r="O41" s="55">
        <f t="shared" si="1"/>
        <v>5</v>
      </c>
    </row>
    <row r="42" spans="1:15" ht="192" customHeight="1" x14ac:dyDescent="0.45">
      <c r="A42" s="67" t="s">
        <v>397</v>
      </c>
      <c r="B42" s="47" t="s">
        <v>389</v>
      </c>
      <c r="C42" s="47" t="s">
        <v>398</v>
      </c>
      <c r="D42" s="68" t="s">
        <v>399</v>
      </c>
      <c r="E42" s="48" t="s">
        <v>319</v>
      </c>
      <c r="F42" s="69">
        <f t="shared" si="0"/>
        <v>0</v>
      </c>
      <c r="G42" s="48">
        <v>10</v>
      </c>
      <c r="H42" s="47"/>
      <c r="I42" s="47"/>
      <c r="J42" s="70" t="s">
        <v>400</v>
      </c>
      <c r="K42" s="47"/>
      <c r="O42" s="55">
        <f t="shared" si="1"/>
        <v>10</v>
      </c>
    </row>
    <row r="43" spans="1:15" ht="156" customHeight="1" x14ac:dyDescent="0.45">
      <c r="A43" s="67" t="s">
        <v>401</v>
      </c>
      <c r="B43" s="47" t="s">
        <v>389</v>
      </c>
      <c r="C43" s="47" t="s">
        <v>402</v>
      </c>
      <c r="D43" s="68" t="s">
        <v>403</v>
      </c>
      <c r="E43" s="48" t="s">
        <v>319</v>
      </c>
      <c r="F43" s="69">
        <f t="shared" si="0"/>
        <v>0</v>
      </c>
      <c r="G43" s="48">
        <v>10</v>
      </c>
      <c r="H43" s="47"/>
      <c r="I43" s="47"/>
      <c r="J43" s="70" t="s">
        <v>404</v>
      </c>
      <c r="K43" s="47"/>
      <c r="O43" s="55">
        <f t="shared" si="1"/>
        <v>10</v>
      </c>
    </row>
    <row r="44" spans="1:15" ht="156" customHeight="1" x14ac:dyDescent="0.45">
      <c r="A44" s="67" t="s">
        <v>405</v>
      </c>
      <c r="B44" s="47" t="s">
        <v>389</v>
      </c>
      <c r="C44" s="47" t="s">
        <v>406</v>
      </c>
      <c r="D44" s="68" t="s">
        <v>407</v>
      </c>
      <c r="E44" s="48" t="s">
        <v>319</v>
      </c>
      <c r="F44" s="69">
        <f t="shared" si="0"/>
        <v>0</v>
      </c>
      <c r="G44" s="48">
        <v>8</v>
      </c>
      <c r="H44" s="47"/>
      <c r="I44" s="47"/>
      <c r="J44" s="70" t="s">
        <v>408</v>
      </c>
      <c r="K44" s="47"/>
      <c r="O44" s="55">
        <f t="shared" si="1"/>
        <v>8</v>
      </c>
    </row>
    <row r="45" spans="1:15" ht="192" customHeight="1" x14ac:dyDescent="0.45">
      <c r="A45" s="67" t="s">
        <v>409</v>
      </c>
      <c r="B45" s="47" t="s">
        <v>389</v>
      </c>
      <c r="C45" s="47" t="s">
        <v>410</v>
      </c>
      <c r="D45" s="68" t="s">
        <v>411</v>
      </c>
      <c r="E45" s="48" t="s">
        <v>319</v>
      </c>
      <c r="F45" s="69">
        <f t="shared" si="0"/>
        <v>0</v>
      </c>
      <c r="G45" s="48">
        <v>8</v>
      </c>
      <c r="H45" s="47"/>
      <c r="I45" s="47"/>
      <c r="J45" s="70" t="s">
        <v>412</v>
      </c>
      <c r="K45" s="47"/>
      <c r="O45" s="55">
        <f t="shared" si="1"/>
        <v>8</v>
      </c>
    </row>
    <row r="46" spans="1:15" ht="168" customHeight="1" x14ac:dyDescent="0.45">
      <c r="A46" s="67" t="s">
        <v>413</v>
      </c>
      <c r="B46" s="47" t="s">
        <v>389</v>
      </c>
      <c r="C46" s="47" t="s">
        <v>414</v>
      </c>
      <c r="D46" s="68" t="s">
        <v>415</v>
      </c>
      <c r="E46" s="48" t="s">
        <v>319</v>
      </c>
      <c r="F46" s="69">
        <f t="shared" si="0"/>
        <v>0</v>
      </c>
      <c r="G46" s="48">
        <v>8</v>
      </c>
      <c r="H46" s="47"/>
      <c r="I46" s="47"/>
      <c r="J46" s="70" t="s">
        <v>416</v>
      </c>
      <c r="K46" s="47"/>
      <c r="O46" s="55">
        <f t="shared" si="1"/>
        <v>8</v>
      </c>
    </row>
    <row r="47" spans="1:15" ht="120" customHeight="1" x14ac:dyDescent="0.45">
      <c r="A47" s="67" t="s">
        <v>417</v>
      </c>
      <c r="B47" s="47" t="s">
        <v>389</v>
      </c>
      <c r="C47" s="47" t="s">
        <v>418</v>
      </c>
      <c r="D47" s="68" t="s">
        <v>419</v>
      </c>
      <c r="E47" s="48" t="s">
        <v>319</v>
      </c>
      <c r="F47" s="69">
        <f t="shared" si="0"/>
        <v>0</v>
      </c>
      <c r="G47" s="48">
        <v>6</v>
      </c>
      <c r="H47" s="47"/>
      <c r="I47" s="47"/>
      <c r="J47" s="70" t="s">
        <v>420</v>
      </c>
      <c r="K47" s="47"/>
      <c r="O47" s="55">
        <f t="shared" si="1"/>
        <v>6</v>
      </c>
    </row>
    <row r="48" spans="1:15" ht="15.75" customHeight="1" x14ac:dyDescent="0.45">
      <c r="A48" s="120" t="s">
        <v>421</v>
      </c>
      <c r="B48" s="86"/>
      <c r="C48" s="86"/>
      <c r="D48" s="86"/>
      <c r="E48" s="86"/>
      <c r="F48" s="86"/>
      <c r="G48" s="86"/>
      <c r="H48" s="86"/>
      <c r="I48" s="86"/>
      <c r="J48" s="86"/>
      <c r="K48" s="86"/>
    </row>
    <row r="49" spans="1:15" ht="156" customHeight="1" x14ac:dyDescent="0.45">
      <c r="A49" s="67" t="s">
        <v>422</v>
      </c>
      <c r="B49" s="47" t="s">
        <v>423</v>
      </c>
      <c r="C49" s="47" t="s">
        <v>424</v>
      </c>
      <c r="D49" s="68" t="s">
        <v>425</v>
      </c>
      <c r="E49" s="48" t="s">
        <v>319</v>
      </c>
      <c r="F49" s="69">
        <f>IFERROR(ROUND(G49*VLOOKUP(E49,$M$2:$N$8,2,FALSE())/100,1),0)</f>
        <v>0</v>
      </c>
      <c r="G49" s="48">
        <v>8</v>
      </c>
      <c r="H49" s="47"/>
      <c r="I49" s="47"/>
      <c r="J49" s="70" t="s">
        <v>426</v>
      </c>
      <c r="K49" s="47"/>
      <c r="O49" s="55">
        <f>IF(E49="Not Applicable",0,G49)</f>
        <v>8</v>
      </c>
    </row>
    <row r="50" spans="1:15" ht="132" customHeight="1" x14ac:dyDescent="0.45">
      <c r="A50" s="67" t="s">
        <v>427</v>
      </c>
      <c r="B50" s="47" t="s">
        <v>423</v>
      </c>
      <c r="C50" s="47" t="s">
        <v>428</v>
      </c>
      <c r="D50" s="68" t="s">
        <v>429</v>
      </c>
      <c r="E50" s="48" t="s">
        <v>319</v>
      </c>
      <c r="F50" s="69">
        <f>IFERROR(ROUND(G50*VLOOKUP(E50,$M$2:$N$8,2,FALSE())/100,1),0)</f>
        <v>0</v>
      </c>
      <c r="G50" s="48">
        <v>6</v>
      </c>
      <c r="H50" s="47"/>
      <c r="I50" s="47"/>
      <c r="J50" s="70" t="s">
        <v>430</v>
      </c>
      <c r="K50" s="47"/>
      <c r="O50" s="55">
        <f>IF(E50="Not Applicable",0,G50)</f>
        <v>6</v>
      </c>
    </row>
    <row r="51" spans="1:15" ht="84" customHeight="1" x14ac:dyDescent="0.45">
      <c r="A51" s="67" t="s">
        <v>431</v>
      </c>
      <c r="B51" s="47" t="s">
        <v>423</v>
      </c>
      <c r="C51" s="47" t="s">
        <v>432</v>
      </c>
      <c r="D51" s="68" t="s">
        <v>433</v>
      </c>
      <c r="E51" s="48" t="s">
        <v>319</v>
      </c>
      <c r="F51" s="69">
        <f>IFERROR(ROUND(G51*VLOOKUP(E51,$M$2:$N$8,2,FALSE())/100,1),0)</f>
        <v>0</v>
      </c>
      <c r="G51" s="48">
        <v>5</v>
      </c>
      <c r="H51" s="47"/>
      <c r="I51" s="47"/>
      <c r="J51" s="70" t="s">
        <v>434</v>
      </c>
      <c r="K51" s="47"/>
      <c r="O51" s="55">
        <f>IF(E51="Not Applicable",0,G51)</f>
        <v>5</v>
      </c>
    </row>
  </sheetData>
  <mergeCells count="15">
    <mergeCell ref="A2:K2"/>
    <mergeCell ref="A28:K28"/>
    <mergeCell ref="A1:K1"/>
    <mergeCell ref="B4:C4"/>
    <mergeCell ref="A31:K31"/>
    <mergeCell ref="A48:K48"/>
    <mergeCell ref="A37:K37"/>
    <mergeCell ref="A39:K39"/>
    <mergeCell ref="G15:H15"/>
    <mergeCell ref="A24:K24"/>
    <mergeCell ref="A6:K6"/>
    <mergeCell ref="E4:F4"/>
    <mergeCell ref="A34:K34"/>
    <mergeCell ref="A18:K18"/>
    <mergeCell ref="H4:K4"/>
  </mergeCells>
  <conditionalFormatting sqref="E18:E51">
    <cfRule type="cellIs" dxfId="203" priority="2" operator="equal">
      <formula>"Best Practice"</formula>
    </cfRule>
    <cfRule type="cellIs" dxfId="202" priority="3" operator="equal">
      <formula>"Verified"</formula>
    </cfRule>
    <cfRule type="cellIs" dxfId="201" priority="4" operator="equal">
      <formula>"Low"</formula>
    </cfRule>
    <cfRule type="cellIs" dxfId="200" priority="5" operator="equal">
      <formula>"Moderate"</formula>
    </cfRule>
    <cfRule type="cellIs" dxfId="199" priority="6" operator="equal">
      <formula>"High"</formula>
    </cfRule>
    <cfRule type="cellIs" dxfId="198" priority="7" operator="equal">
      <formula>"Very High"</formula>
    </cfRule>
    <cfRule type="cellIs" dxfId="197" priority="8" operator="equal">
      <formula>"Not Applicable"</formula>
    </cfRule>
  </conditionalFormatting>
  <conditionalFormatting sqref="G15:H15">
    <cfRule type="cellIs" dxfId="196" priority="9" operator="equal">
      <formula>"Excellence Leader"</formula>
    </cfRule>
    <cfRule type="cellIs" dxfId="195" priority="10" operator="equal">
      <formula>"Gold"</formula>
    </cfRule>
    <cfRule type="cellIs" dxfId="194" priority="11" operator="equal">
      <formula>"Silver"</formula>
    </cfRule>
    <cfRule type="cellIs" dxfId="193" priority="12" operator="equal">
      <formula>"Bronze"</formula>
    </cfRule>
    <cfRule type="cellIs" dxfId="192" priority="13" operator="equal">
      <formula>"Developing"</formula>
    </cfRule>
  </conditionalFormatting>
  <dataValidations count="1">
    <dataValidation type="list" sqref="E19:E23 E25:E27 E29:E30 E32:E33 E35:E36 E38 E40:E47 E49:E51" xr:uid="{00000000-0002-0000-05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8"/>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1.9296875" customWidth="1"/>
    <col min="7" max="7" width="11.6640625"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435</v>
      </c>
      <c r="B1" s="86"/>
      <c r="C1" s="86"/>
      <c r="D1" s="86"/>
      <c r="E1" s="86"/>
      <c r="F1" s="86"/>
      <c r="G1" s="86"/>
      <c r="H1" s="86"/>
      <c r="I1" s="86"/>
      <c r="J1" s="86"/>
      <c r="K1" s="86"/>
      <c r="M1" s="54" t="s">
        <v>90</v>
      </c>
      <c r="N1" s="54" t="s">
        <v>185</v>
      </c>
    </row>
    <row r="2" spans="1:14" ht="15.75" customHeight="1" x14ac:dyDescent="0.45">
      <c r="A2" s="122" t="s">
        <v>436</v>
      </c>
      <c r="B2" s="86"/>
      <c r="C2" s="86"/>
      <c r="D2" s="86"/>
      <c r="E2" s="86"/>
      <c r="F2" s="86"/>
      <c r="G2" s="86"/>
      <c r="H2" s="86"/>
      <c r="I2" s="86"/>
      <c r="J2" s="86"/>
      <c r="K2" s="86"/>
      <c r="M2" s="55" t="s">
        <v>93</v>
      </c>
      <c r="N2" s="55">
        <v>100</v>
      </c>
    </row>
    <row r="3" spans="1:14" ht="14.2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4.2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39" customHeight="1" x14ac:dyDescent="0.55000000000000004">
      <c r="A8" s="59" t="s">
        <v>190</v>
      </c>
      <c r="B8" s="60">
        <f>SUM(F18:F48)</f>
        <v>0</v>
      </c>
      <c r="C8" s="60">
        <f>SUM(O18:O48)</f>
        <v>145</v>
      </c>
      <c r="D8" s="61">
        <f>IF(C8&lt;&gt;0,B8/C8,"N/A")</f>
        <v>0</v>
      </c>
      <c r="F8" s="47" t="s">
        <v>93</v>
      </c>
      <c r="G8" s="62">
        <f>COUNTIF(E18:E48,"Best Practice")</f>
        <v>0</v>
      </c>
      <c r="M8" s="55" t="s">
        <v>191</v>
      </c>
      <c r="N8" s="55">
        <v>0</v>
      </c>
    </row>
    <row r="9" spans="1:14" ht="26.25" customHeight="1" x14ac:dyDescent="0.45">
      <c r="F9" s="47" t="s">
        <v>94</v>
      </c>
      <c r="G9" s="62">
        <f>COUNTIF(E18:E48,"Verified")</f>
        <v>0</v>
      </c>
    </row>
    <row r="10" spans="1:14" ht="14.25" customHeight="1" x14ac:dyDescent="0.45">
      <c r="F10" s="47" t="s">
        <v>96</v>
      </c>
      <c r="G10" s="62">
        <f>COUNTIF(E18:E48,"Low")</f>
        <v>0</v>
      </c>
    </row>
    <row r="11" spans="1:14" ht="26.25" customHeight="1" x14ac:dyDescent="0.45">
      <c r="F11" s="47" t="s">
        <v>97</v>
      </c>
      <c r="G11" s="62">
        <f>COUNTIF(E18:E48,"Moderate")</f>
        <v>0</v>
      </c>
    </row>
    <row r="12" spans="1:14" ht="14.25" customHeight="1" x14ac:dyDescent="0.45">
      <c r="F12" s="47" t="s">
        <v>98</v>
      </c>
      <c r="G12" s="62">
        <f>COUNTIF(E18:E48,"High")</f>
        <v>0</v>
      </c>
    </row>
    <row r="13" spans="1:14" ht="26.25" customHeight="1" x14ac:dyDescent="0.45">
      <c r="F13" s="47" t="s">
        <v>99</v>
      </c>
      <c r="G13" s="62">
        <f>COUNTIF(E18:E48,"Very High")</f>
        <v>0</v>
      </c>
    </row>
    <row r="14" spans="1:14" ht="39" customHeight="1" x14ac:dyDescent="0.45">
      <c r="F14" s="47" t="s">
        <v>191</v>
      </c>
      <c r="G14" s="62">
        <f>COUNTIF(E18:E48,"Not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437</v>
      </c>
      <c r="B18" s="86"/>
      <c r="C18" s="86"/>
      <c r="D18" s="86"/>
      <c r="E18" s="86"/>
      <c r="F18" s="86"/>
      <c r="G18" s="86"/>
      <c r="H18" s="86"/>
      <c r="I18" s="86"/>
      <c r="J18" s="86"/>
      <c r="K18" s="86"/>
    </row>
    <row r="19" spans="1:15" ht="108" customHeight="1" x14ac:dyDescent="0.45">
      <c r="A19" s="67" t="s">
        <v>438</v>
      </c>
      <c r="B19" s="47" t="s">
        <v>439</v>
      </c>
      <c r="C19" s="47" t="s">
        <v>440</v>
      </c>
      <c r="D19" s="68" t="s">
        <v>441</v>
      </c>
      <c r="E19" s="48" t="s">
        <v>319</v>
      </c>
      <c r="F19" s="69">
        <f>IFERROR(ROUND(G19*VLOOKUP(E19,$M$2:$N$8,2,FALSE())/100,1),0)</f>
        <v>0</v>
      </c>
      <c r="G19" s="48">
        <v>8</v>
      </c>
      <c r="H19" s="47"/>
      <c r="I19" s="47"/>
      <c r="J19" s="70" t="s">
        <v>442</v>
      </c>
      <c r="K19" s="47"/>
      <c r="O19" s="55">
        <f>IF(E19="Not Applicable",0,G19)</f>
        <v>8</v>
      </c>
    </row>
    <row r="20" spans="1:15" ht="84" customHeight="1" x14ac:dyDescent="0.45">
      <c r="A20" s="67" t="s">
        <v>443</v>
      </c>
      <c r="B20" s="47" t="s">
        <v>439</v>
      </c>
      <c r="C20" s="47" t="s">
        <v>444</v>
      </c>
      <c r="D20" s="68" t="s">
        <v>445</v>
      </c>
      <c r="E20" s="48" t="s">
        <v>319</v>
      </c>
      <c r="F20" s="69">
        <f>IFERROR(ROUND(G20*VLOOKUP(E20,$M$2:$N$8,2,FALSE())/100,1),0)</f>
        <v>0</v>
      </c>
      <c r="G20" s="48">
        <v>6</v>
      </c>
      <c r="H20" s="47"/>
      <c r="I20" s="47"/>
      <c r="J20" s="70" t="s">
        <v>446</v>
      </c>
      <c r="K20" s="47"/>
      <c r="O20" s="55">
        <f>IF(E20="Not Applicable",0,G20)</f>
        <v>6</v>
      </c>
    </row>
    <row r="21" spans="1:15" ht="72" customHeight="1" x14ac:dyDescent="0.45">
      <c r="A21" s="67" t="s">
        <v>447</v>
      </c>
      <c r="B21" s="47" t="s">
        <v>439</v>
      </c>
      <c r="C21" s="47" t="s">
        <v>448</v>
      </c>
      <c r="D21" s="68" t="s">
        <v>449</v>
      </c>
      <c r="E21" s="48" t="s">
        <v>319</v>
      </c>
      <c r="F21" s="69">
        <f>IFERROR(ROUND(G21*VLOOKUP(E21,$M$2:$N$8,2,FALSE())/100,1),0)</f>
        <v>0</v>
      </c>
      <c r="G21" s="48">
        <v>8</v>
      </c>
      <c r="H21" s="47"/>
      <c r="I21" s="47"/>
      <c r="J21" s="70" t="s">
        <v>450</v>
      </c>
      <c r="K21" s="47"/>
      <c r="O21" s="55">
        <f>IF(E21="Not Applicable",0,G21)</f>
        <v>8</v>
      </c>
    </row>
    <row r="22" spans="1:15" ht="108" customHeight="1" x14ac:dyDescent="0.45">
      <c r="A22" s="67" t="s">
        <v>451</v>
      </c>
      <c r="B22" s="47" t="s">
        <v>439</v>
      </c>
      <c r="C22" s="47" t="s">
        <v>452</v>
      </c>
      <c r="D22" s="68" t="s">
        <v>453</v>
      </c>
      <c r="E22" s="48" t="s">
        <v>319</v>
      </c>
      <c r="F22" s="69">
        <f>IFERROR(ROUND(G22*VLOOKUP(E22,$M$2:$N$8,2,FALSE())/100,1),0)</f>
        <v>0</v>
      </c>
      <c r="G22" s="48">
        <v>8</v>
      </c>
      <c r="H22" s="47"/>
      <c r="I22" s="47"/>
      <c r="J22" s="70" t="s">
        <v>454</v>
      </c>
      <c r="K22" s="47"/>
      <c r="O22" s="55">
        <f>IF(E22="Not Applicable",0,G22)</f>
        <v>8</v>
      </c>
    </row>
    <row r="23" spans="1:15" ht="15.75" customHeight="1" x14ac:dyDescent="0.45">
      <c r="A23" s="120" t="s">
        <v>455</v>
      </c>
      <c r="B23" s="86"/>
      <c r="C23" s="86"/>
      <c r="D23" s="86"/>
      <c r="E23" s="86"/>
      <c r="F23" s="86"/>
      <c r="G23" s="86"/>
      <c r="H23" s="86"/>
      <c r="I23" s="86"/>
      <c r="J23" s="86"/>
      <c r="K23" s="86"/>
    </row>
    <row r="24" spans="1:15" ht="192" customHeight="1" x14ac:dyDescent="0.45">
      <c r="A24" s="67" t="s">
        <v>456</v>
      </c>
      <c r="B24" s="47" t="s">
        <v>457</v>
      </c>
      <c r="C24" s="47" t="s">
        <v>458</v>
      </c>
      <c r="D24" s="68" t="s">
        <v>459</v>
      </c>
      <c r="E24" s="48" t="s">
        <v>319</v>
      </c>
      <c r="F24" s="69">
        <f>IFERROR(ROUND(G24*VLOOKUP(E24,$M$2:$N$8,2,FALSE())/100,1),0)</f>
        <v>0</v>
      </c>
      <c r="G24" s="48">
        <v>8</v>
      </c>
      <c r="H24" s="47"/>
      <c r="I24" s="47"/>
      <c r="J24" s="70" t="s">
        <v>460</v>
      </c>
      <c r="K24" s="47"/>
      <c r="O24" s="55">
        <f>IF(E24="Not Applicable",0,G24)</f>
        <v>8</v>
      </c>
    </row>
    <row r="25" spans="1:15" ht="180" customHeight="1" x14ac:dyDescent="0.45">
      <c r="A25" s="67" t="s">
        <v>461</v>
      </c>
      <c r="B25" s="47" t="s">
        <v>457</v>
      </c>
      <c r="C25" s="47" t="s">
        <v>462</v>
      </c>
      <c r="D25" s="68" t="s">
        <v>463</v>
      </c>
      <c r="E25" s="48" t="s">
        <v>319</v>
      </c>
      <c r="F25" s="69">
        <f>IFERROR(ROUND(G25*VLOOKUP(E25,$M$2:$N$8,2,FALSE())/100,1),0)</f>
        <v>0</v>
      </c>
      <c r="G25" s="48">
        <v>8</v>
      </c>
      <c r="H25" s="47"/>
      <c r="I25" s="47"/>
      <c r="J25" s="70" t="s">
        <v>464</v>
      </c>
      <c r="K25" s="47"/>
      <c r="O25" s="55">
        <f>IF(E25="Not Applicable",0,G25)</f>
        <v>8</v>
      </c>
    </row>
    <row r="26" spans="1:15" ht="156" customHeight="1" x14ac:dyDescent="0.45">
      <c r="A26" s="67" t="s">
        <v>465</v>
      </c>
      <c r="B26" s="47" t="s">
        <v>457</v>
      </c>
      <c r="C26" s="47" t="s">
        <v>466</v>
      </c>
      <c r="D26" s="68" t="s">
        <v>467</v>
      </c>
      <c r="E26" s="48" t="s">
        <v>319</v>
      </c>
      <c r="F26" s="69">
        <f>IFERROR(ROUND(G26*VLOOKUP(E26,$M$2:$N$8,2,FALSE())/100,1),0)</f>
        <v>0</v>
      </c>
      <c r="G26" s="48">
        <v>6</v>
      </c>
      <c r="H26" s="47"/>
      <c r="I26" s="47"/>
      <c r="J26" s="70" t="s">
        <v>468</v>
      </c>
      <c r="K26" s="47"/>
      <c r="O26" s="55">
        <f>IF(E26="Not Applicable",0,G26)</f>
        <v>6</v>
      </c>
    </row>
    <row r="27" spans="1:15" ht="156" customHeight="1" x14ac:dyDescent="0.45">
      <c r="A27" s="67" t="s">
        <v>469</v>
      </c>
      <c r="B27" s="47" t="s">
        <v>457</v>
      </c>
      <c r="C27" s="47" t="s">
        <v>470</v>
      </c>
      <c r="D27" s="68" t="s">
        <v>471</v>
      </c>
      <c r="E27" s="48" t="s">
        <v>319</v>
      </c>
      <c r="F27" s="69">
        <f>IFERROR(ROUND(G27*VLOOKUP(E27,$M$2:$N$8,2,FALSE())/100,1),0)</f>
        <v>0</v>
      </c>
      <c r="G27" s="48">
        <v>5</v>
      </c>
      <c r="H27" s="47"/>
      <c r="I27" s="47"/>
      <c r="J27" s="70" t="s">
        <v>472</v>
      </c>
      <c r="K27" s="47"/>
      <c r="O27" s="55">
        <f>IF(E27="Not Applicable",0,G27)</f>
        <v>5</v>
      </c>
    </row>
    <row r="28" spans="1:15" ht="15.75" customHeight="1" x14ac:dyDescent="0.45">
      <c r="A28" s="120" t="s">
        <v>473</v>
      </c>
      <c r="B28" s="86"/>
      <c r="C28" s="86"/>
      <c r="D28" s="86"/>
      <c r="E28" s="86"/>
      <c r="F28" s="86"/>
      <c r="G28" s="86"/>
      <c r="H28" s="86"/>
      <c r="I28" s="86"/>
      <c r="J28" s="86"/>
      <c r="K28" s="86"/>
    </row>
    <row r="29" spans="1:15" ht="108" customHeight="1" x14ac:dyDescent="0.45">
      <c r="A29" s="67" t="s">
        <v>474</v>
      </c>
      <c r="B29" s="47" t="s">
        <v>475</v>
      </c>
      <c r="C29" s="47" t="s">
        <v>476</v>
      </c>
      <c r="D29" s="68" t="s">
        <v>477</v>
      </c>
      <c r="E29" s="48" t="s">
        <v>319</v>
      </c>
      <c r="F29" s="69">
        <f>IFERROR(ROUND(G29*VLOOKUP(E29,$M$2:$N$8,2,FALSE())/100,1),0)</f>
        <v>0</v>
      </c>
      <c r="G29" s="48">
        <v>4</v>
      </c>
      <c r="H29" s="47"/>
      <c r="I29" s="47"/>
      <c r="J29" s="70" t="s">
        <v>478</v>
      </c>
      <c r="K29" s="47"/>
      <c r="O29" s="55">
        <f>IF(E29="Not Applicable",0,G29)</f>
        <v>4</v>
      </c>
    </row>
    <row r="30" spans="1:15" ht="15.75" customHeight="1" x14ac:dyDescent="0.45">
      <c r="A30" s="120" t="s">
        <v>479</v>
      </c>
      <c r="B30" s="86"/>
      <c r="C30" s="86"/>
      <c r="D30" s="86"/>
      <c r="E30" s="86"/>
      <c r="F30" s="86"/>
      <c r="G30" s="86"/>
      <c r="H30" s="86"/>
      <c r="I30" s="86"/>
      <c r="J30" s="86"/>
      <c r="K30" s="86"/>
    </row>
    <row r="31" spans="1:15" ht="120" customHeight="1" x14ac:dyDescent="0.45">
      <c r="A31" s="67" t="s">
        <v>480</v>
      </c>
      <c r="B31" s="47" t="s">
        <v>481</v>
      </c>
      <c r="C31" s="47" t="s">
        <v>482</v>
      </c>
      <c r="D31" s="68" t="s">
        <v>483</v>
      </c>
      <c r="E31" s="48" t="s">
        <v>319</v>
      </c>
      <c r="F31" s="69">
        <f>IFERROR(ROUND(G31*VLOOKUP(E31,$M$2:$N$8,2,FALSE())/100,1),0)</f>
        <v>0</v>
      </c>
      <c r="G31" s="48">
        <v>6</v>
      </c>
      <c r="H31" s="47"/>
      <c r="I31" s="47"/>
      <c r="J31" s="70" t="s">
        <v>484</v>
      </c>
      <c r="K31" s="47"/>
      <c r="O31" s="55">
        <f>IF(E31="Not Applicable",0,G31)</f>
        <v>6</v>
      </c>
    </row>
    <row r="32" spans="1:15" ht="108" customHeight="1" x14ac:dyDescent="0.45">
      <c r="A32" s="67" t="s">
        <v>485</v>
      </c>
      <c r="B32" s="47" t="s">
        <v>481</v>
      </c>
      <c r="C32" s="47" t="s">
        <v>486</v>
      </c>
      <c r="D32" s="68" t="s">
        <v>487</v>
      </c>
      <c r="E32" s="48" t="s">
        <v>319</v>
      </c>
      <c r="F32" s="69">
        <f>IFERROR(ROUND(G32*VLOOKUP(E32,$M$2:$N$8,2,FALSE())/100,1),0)</f>
        <v>0</v>
      </c>
      <c r="G32" s="48">
        <v>4</v>
      </c>
      <c r="H32" s="47"/>
      <c r="I32" s="47"/>
      <c r="J32" s="70" t="s">
        <v>488</v>
      </c>
      <c r="K32" s="47"/>
      <c r="O32" s="55">
        <f>IF(E32="Not Applicable",0,G32)</f>
        <v>4</v>
      </c>
    </row>
    <row r="33" spans="1:15" ht="15.75" customHeight="1" x14ac:dyDescent="0.45">
      <c r="A33" s="120" t="s">
        <v>489</v>
      </c>
      <c r="B33" s="86"/>
      <c r="C33" s="86"/>
      <c r="D33" s="86"/>
      <c r="E33" s="86"/>
      <c r="F33" s="86"/>
      <c r="G33" s="86"/>
      <c r="H33" s="86"/>
      <c r="I33" s="86"/>
      <c r="J33" s="86"/>
      <c r="K33" s="86"/>
    </row>
    <row r="34" spans="1:15" ht="96" customHeight="1" x14ac:dyDescent="0.45">
      <c r="A34" s="67" t="s">
        <v>490</v>
      </c>
      <c r="B34" s="47" t="s">
        <v>491</v>
      </c>
      <c r="C34" s="47" t="s">
        <v>492</v>
      </c>
      <c r="D34" s="68" t="s">
        <v>493</v>
      </c>
      <c r="E34" s="48" t="s">
        <v>319</v>
      </c>
      <c r="F34" s="69">
        <f>IFERROR(ROUND(G34*VLOOKUP(E34,$M$2:$N$8,2,FALSE())/100,1),0)</f>
        <v>0</v>
      </c>
      <c r="G34" s="48">
        <v>4</v>
      </c>
      <c r="H34" s="47"/>
      <c r="I34" s="47"/>
      <c r="J34" s="70" t="s">
        <v>494</v>
      </c>
      <c r="K34" s="47"/>
      <c r="O34" s="55">
        <f>IF(E34="Not Applicable",0,G34)</f>
        <v>4</v>
      </c>
    </row>
    <row r="35" spans="1:15" ht="15.75" customHeight="1" x14ac:dyDescent="0.45">
      <c r="A35" s="120" t="s">
        <v>495</v>
      </c>
      <c r="B35" s="86"/>
      <c r="C35" s="86"/>
      <c r="D35" s="86"/>
      <c r="E35" s="86"/>
      <c r="F35" s="86"/>
      <c r="G35" s="86"/>
      <c r="H35" s="86"/>
      <c r="I35" s="86"/>
      <c r="J35" s="86"/>
      <c r="K35" s="86"/>
    </row>
    <row r="36" spans="1:15" ht="156" customHeight="1" x14ac:dyDescent="0.45">
      <c r="A36" s="67" t="s">
        <v>496</v>
      </c>
      <c r="B36" s="47" t="s">
        <v>497</v>
      </c>
      <c r="C36" s="47" t="s">
        <v>498</v>
      </c>
      <c r="D36" s="68" t="s">
        <v>499</v>
      </c>
      <c r="E36" s="48" t="s">
        <v>319</v>
      </c>
      <c r="F36" s="69">
        <f>IFERROR(ROUND(G36*VLOOKUP(E36,$M$2:$N$8,2,FALSE())/100,1),0)</f>
        <v>0</v>
      </c>
      <c r="G36" s="48">
        <v>6</v>
      </c>
      <c r="H36" s="47"/>
      <c r="I36" s="47"/>
      <c r="J36" s="70" t="s">
        <v>500</v>
      </c>
      <c r="K36" s="47"/>
      <c r="O36" s="55">
        <f>IF(E36="Not Applicable",0,G36)</f>
        <v>6</v>
      </c>
    </row>
    <row r="37" spans="1:15" ht="84" customHeight="1" x14ac:dyDescent="0.45">
      <c r="A37" s="67" t="s">
        <v>501</v>
      </c>
      <c r="B37" s="47" t="s">
        <v>497</v>
      </c>
      <c r="C37" s="47" t="s">
        <v>502</v>
      </c>
      <c r="D37" s="68" t="s">
        <v>503</v>
      </c>
      <c r="E37" s="48" t="s">
        <v>319</v>
      </c>
      <c r="F37" s="69">
        <f>IFERROR(ROUND(G37*VLOOKUP(E37,$M$2:$N$8,2,FALSE())/100,1),0)</f>
        <v>0</v>
      </c>
      <c r="G37" s="48">
        <v>4</v>
      </c>
      <c r="H37" s="47"/>
      <c r="I37" s="47"/>
      <c r="J37" s="70" t="s">
        <v>504</v>
      </c>
      <c r="K37" s="47"/>
      <c r="O37" s="55">
        <f>IF(E37="Not Applicable",0,G37)</f>
        <v>4</v>
      </c>
    </row>
    <row r="38" spans="1:15" ht="15.75" customHeight="1" x14ac:dyDescent="0.45">
      <c r="A38" s="120" t="s">
        <v>505</v>
      </c>
      <c r="B38" s="86"/>
      <c r="C38" s="86"/>
      <c r="D38" s="86"/>
      <c r="E38" s="86"/>
      <c r="F38" s="86"/>
      <c r="G38" s="86"/>
      <c r="H38" s="86"/>
      <c r="I38" s="86"/>
      <c r="J38" s="86"/>
      <c r="K38" s="86"/>
    </row>
    <row r="39" spans="1:15" ht="168" customHeight="1" x14ac:dyDescent="0.45">
      <c r="A39" s="67" t="s">
        <v>506</v>
      </c>
      <c r="B39" s="47" t="s">
        <v>507</v>
      </c>
      <c r="C39" s="47" t="s">
        <v>508</v>
      </c>
      <c r="D39" s="68" t="s">
        <v>509</v>
      </c>
      <c r="E39" s="48" t="s">
        <v>319</v>
      </c>
      <c r="F39" s="69">
        <f>IFERROR(ROUND(G39*VLOOKUP(E39,$M$2:$N$8,2,FALSE())/100,1),0)</f>
        <v>0</v>
      </c>
      <c r="G39" s="48">
        <v>10</v>
      </c>
      <c r="H39" s="47"/>
      <c r="I39" s="47"/>
      <c r="J39" s="70" t="s">
        <v>510</v>
      </c>
      <c r="K39" s="47"/>
      <c r="O39" s="55">
        <f>IF(E39="Not Applicable",0,G39)</f>
        <v>10</v>
      </c>
    </row>
    <row r="40" spans="1:15" ht="96" customHeight="1" x14ac:dyDescent="0.45">
      <c r="A40" s="67" t="s">
        <v>511</v>
      </c>
      <c r="B40" s="47" t="s">
        <v>507</v>
      </c>
      <c r="C40" s="47" t="s">
        <v>512</v>
      </c>
      <c r="D40" s="68" t="s">
        <v>513</v>
      </c>
      <c r="E40" s="48" t="s">
        <v>319</v>
      </c>
      <c r="F40" s="69">
        <f>IFERROR(ROUND(G40*VLOOKUP(E40,$M$2:$N$8,2,FALSE())/100,1),0)</f>
        <v>0</v>
      </c>
      <c r="G40" s="48">
        <v>8</v>
      </c>
      <c r="H40" s="47"/>
      <c r="I40" s="47"/>
      <c r="J40" s="70" t="s">
        <v>514</v>
      </c>
      <c r="K40" s="47"/>
      <c r="O40" s="55">
        <f>IF(E40="Not Applicable",0,G40)</f>
        <v>8</v>
      </c>
    </row>
    <row r="41" spans="1:15" ht="15.75" customHeight="1" x14ac:dyDescent="0.45">
      <c r="A41" s="120" t="s">
        <v>515</v>
      </c>
      <c r="B41" s="86"/>
      <c r="C41" s="86"/>
      <c r="D41" s="86"/>
      <c r="E41" s="86"/>
      <c r="F41" s="86"/>
      <c r="G41" s="86"/>
      <c r="H41" s="86"/>
      <c r="I41" s="86"/>
      <c r="J41" s="86"/>
      <c r="K41" s="86"/>
    </row>
    <row r="42" spans="1:15" ht="168" customHeight="1" x14ac:dyDescent="0.45">
      <c r="A42" s="67" t="s">
        <v>516</v>
      </c>
      <c r="B42" s="47" t="s">
        <v>517</v>
      </c>
      <c r="C42" s="47" t="s">
        <v>518</v>
      </c>
      <c r="D42" s="68" t="s">
        <v>519</v>
      </c>
      <c r="E42" s="48" t="s">
        <v>319</v>
      </c>
      <c r="F42" s="69">
        <f>IFERROR(ROUND(G42*VLOOKUP(E42,$M$2:$N$8,2,FALSE())/100,1),0)</f>
        <v>0</v>
      </c>
      <c r="G42" s="48">
        <v>8</v>
      </c>
      <c r="H42" s="47"/>
      <c r="I42" s="47"/>
      <c r="J42" s="70" t="s">
        <v>520</v>
      </c>
      <c r="K42" s="47"/>
      <c r="O42" s="55">
        <f>IF(E42="Not Applicable",0,G42)</f>
        <v>8</v>
      </c>
    </row>
    <row r="43" spans="1:15" ht="108" customHeight="1" x14ac:dyDescent="0.45">
      <c r="A43" s="67" t="s">
        <v>521</v>
      </c>
      <c r="B43" s="47" t="s">
        <v>517</v>
      </c>
      <c r="C43" s="47" t="s">
        <v>522</v>
      </c>
      <c r="D43" s="68" t="s">
        <v>523</v>
      </c>
      <c r="E43" s="48" t="s">
        <v>319</v>
      </c>
      <c r="F43" s="69">
        <f>IFERROR(ROUND(G43*VLOOKUP(E43,$M$2:$N$8,2,FALSE())/100,1),0)</f>
        <v>0</v>
      </c>
      <c r="G43" s="48">
        <v>8</v>
      </c>
      <c r="H43" s="47"/>
      <c r="I43" s="47"/>
      <c r="J43" s="70" t="s">
        <v>524</v>
      </c>
      <c r="K43" s="47"/>
      <c r="O43" s="55">
        <f>IF(E43="Not Applicable",0,G43)</f>
        <v>8</v>
      </c>
    </row>
    <row r="44" spans="1:15" ht="144" customHeight="1" x14ac:dyDescent="0.45">
      <c r="A44" s="67" t="s">
        <v>525</v>
      </c>
      <c r="B44" s="47" t="s">
        <v>517</v>
      </c>
      <c r="C44" s="47" t="s">
        <v>526</v>
      </c>
      <c r="D44" s="68" t="s">
        <v>527</v>
      </c>
      <c r="E44" s="48" t="s">
        <v>319</v>
      </c>
      <c r="F44" s="69">
        <f>IFERROR(ROUND(G44*VLOOKUP(E44,$M$2:$N$8,2,FALSE())/100,1),0)</f>
        <v>0</v>
      </c>
      <c r="G44" s="48">
        <v>6</v>
      </c>
      <c r="H44" s="47"/>
      <c r="I44" s="47"/>
      <c r="J44" s="70" t="s">
        <v>528</v>
      </c>
      <c r="K44" s="47"/>
      <c r="O44" s="55">
        <f>IF(E44="Not Applicable",0,G44)</f>
        <v>6</v>
      </c>
    </row>
    <row r="45" spans="1:15" ht="132" customHeight="1" x14ac:dyDescent="0.45">
      <c r="A45" s="67" t="s">
        <v>529</v>
      </c>
      <c r="B45" s="47" t="s">
        <v>517</v>
      </c>
      <c r="C45" s="47" t="s">
        <v>530</v>
      </c>
      <c r="D45" s="68" t="s">
        <v>531</v>
      </c>
      <c r="E45" s="48" t="s">
        <v>319</v>
      </c>
      <c r="F45" s="69">
        <f>IFERROR(ROUND(G45*VLOOKUP(E45,$M$2:$N$8,2,FALSE())/100,1),0)</f>
        <v>0</v>
      </c>
      <c r="G45" s="48">
        <v>6</v>
      </c>
      <c r="H45" s="47"/>
      <c r="I45" s="47"/>
      <c r="J45" s="70" t="s">
        <v>532</v>
      </c>
      <c r="K45" s="47"/>
      <c r="O45" s="55">
        <f>IF(E45="Not Applicable",0,G45)</f>
        <v>6</v>
      </c>
    </row>
    <row r="46" spans="1:15" ht="144" customHeight="1" x14ac:dyDescent="0.45">
      <c r="A46" s="67" t="s">
        <v>533</v>
      </c>
      <c r="B46" s="47" t="s">
        <v>517</v>
      </c>
      <c r="C46" s="47" t="s">
        <v>534</v>
      </c>
      <c r="D46" s="68" t="s">
        <v>535</v>
      </c>
      <c r="E46" s="48" t="s">
        <v>319</v>
      </c>
      <c r="F46" s="69">
        <f>IFERROR(ROUND(G46*VLOOKUP(E46,$M$2:$N$8,2,FALSE())/100,1),0)</f>
        <v>0</v>
      </c>
      <c r="G46" s="48">
        <v>6</v>
      </c>
      <c r="H46" s="47"/>
      <c r="I46" s="47"/>
      <c r="J46" s="70" t="s">
        <v>536</v>
      </c>
      <c r="K46" s="47"/>
      <c r="O46" s="55">
        <f>IF(E46="Not Applicable",0,G46)</f>
        <v>6</v>
      </c>
    </row>
    <row r="47" spans="1:15" ht="15.75" customHeight="1" x14ac:dyDescent="0.45">
      <c r="A47" s="120" t="s">
        <v>537</v>
      </c>
      <c r="B47" s="86"/>
      <c r="C47" s="86"/>
      <c r="D47" s="86"/>
      <c r="E47" s="86"/>
      <c r="F47" s="86"/>
      <c r="G47" s="86"/>
      <c r="H47" s="86"/>
      <c r="I47" s="86"/>
      <c r="J47" s="86"/>
      <c r="K47" s="86"/>
    </row>
    <row r="48" spans="1:15" ht="192" customHeight="1" x14ac:dyDescent="0.45">
      <c r="A48" s="67" t="s">
        <v>538</v>
      </c>
      <c r="B48" s="47" t="s">
        <v>539</v>
      </c>
      <c r="C48" s="47" t="s">
        <v>540</v>
      </c>
      <c r="D48" s="68" t="s">
        <v>541</v>
      </c>
      <c r="E48" s="48" t="s">
        <v>319</v>
      </c>
      <c r="F48" s="69">
        <f>IFERROR(ROUND(G48*VLOOKUP(E48,$M$2:$N$8,2,FALSE())/100,1),0)</f>
        <v>0</v>
      </c>
      <c r="G48" s="48">
        <v>8</v>
      </c>
      <c r="H48" s="47"/>
      <c r="I48" s="47"/>
      <c r="J48" s="70" t="s">
        <v>542</v>
      </c>
      <c r="K48" s="47"/>
      <c r="O48" s="55">
        <f>IF(E48="Not Applicable",0,G48)</f>
        <v>8</v>
      </c>
    </row>
  </sheetData>
  <mergeCells count="16">
    <mergeCell ref="A1:K1"/>
    <mergeCell ref="B4:C4"/>
    <mergeCell ref="A38:K38"/>
    <mergeCell ref="A33:K33"/>
    <mergeCell ref="A41:K41"/>
    <mergeCell ref="A2:K2"/>
    <mergeCell ref="A47:K47"/>
    <mergeCell ref="A28:K28"/>
    <mergeCell ref="A6:K6"/>
    <mergeCell ref="E4:F4"/>
    <mergeCell ref="H4:K4"/>
    <mergeCell ref="A35:K35"/>
    <mergeCell ref="A18:K18"/>
    <mergeCell ref="A23:K23"/>
    <mergeCell ref="A30:K30"/>
    <mergeCell ref="G15:H15"/>
  </mergeCells>
  <conditionalFormatting sqref="E18:E48">
    <cfRule type="cellIs" dxfId="191" priority="2" operator="equal">
      <formula>"Best Practice"</formula>
    </cfRule>
    <cfRule type="cellIs" dxfId="190" priority="3" operator="equal">
      <formula>"Verified"</formula>
    </cfRule>
    <cfRule type="cellIs" dxfId="189" priority="4" operator="equal">
      <formula>"Low"</formula>
    </cfRule>
    <cfRule type="cellIs" dxfId="188" priority="5" operator="equal">
      <formula>"Moderate"</formula>
    </cfRule>
    <cfRule type="cellIs" dxfId="187" priority="6" operator="equal">
      <formula>"High"</formula>
    </cfRule>
    <cfRule type="cellIs" dxfId="186" priority="7" operator="equal">
      <formula>"Very High"</formula>
    </cfRule>
    <cfRule type="cellIs" dxfId="185" priority="8" operator="equal">
      <formula>"Not Applicable"</formula>
    </cfRule>
  </conditionalFormatting>
  <conditionalFormatting sqref="G15:H15">
    <cfRule type="cellIs" dxfId="184" priority="9" operator="equal">
      <formula>"Excellence Leader"</formula>
    </cfRule>
    <cfRule type="cellIs" dxfId="183" priority="10" operator="equal">
      <formula>"Gold"</formula>
    </cfRule>
    <cfRule type="cellIs" dxfId="182" priority="11" operator="equal">
      <formula>"Silver"</formula>
    </cfRule>
    <cfRule type="cellIs" dxfId="181" priority="12" operator="equal">
      <formula>"Bronze"</formula>
    </cfRule>
    <cfRule type="cellIs" dxfId="180" priority="13" operator="equal">
      <formula>"Developing"</formula>
    </cfRule>
  </conditionalFormatting>
  <dataValidations count="1">
    <dataValidation type="list" sqref="E19:E22 E24:E27 E29 E31:E32 E34 E36:E37 E39:E40 E42:E46 E48" xr:uid="{00000000-0002-0000-06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9"/>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1.9296875"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543</v>
      </c>
      <c r="B1" s="86"/>
      <c r="C1" s="86"/>
      <c r="D1" s="86"/>
      <c r="E1" s="86"/>
      <c r="F1" s="86"/>
      <c r="G1" s="86"/>
      <c r="H1" s="86"/>
      <c r="I1" s="86"/>
      <c r="J1" s="86"/>
      <c r="K1" s="86"/>
      <c r="M1" s="54" t="s">
        <v>90</v>
      </c>
      <c r="N1" s="54" t="s">
        <v>185</v>
      </c>
    </row>
    <row r="2" spans="1:14" ht="15.75" customHeight="1" x14ac:dyDescent="0.45">
      <c r="A2" s="122" t="s">
        <v>544</v>
      </c>
      <c r="B2" s="86"/>
      <c r="C2" s="86"/>
      <c r="D2" s="86"/>
      <c r="E2" s="86"/>
      <c r="F2" s="86"/>
      <c r="G2" s="86"/>
      <c r="H2" s="86"/>
      <c r="I2" s="86"/>
      <c r="J2" s="86"/>
      <c r="K2" s="86"/>
      <c r="M2" s="55" t="s">
        <v>93</v>
      </c>
      <c r="N2" s="55">
        <v>100</v>
      </c>
    </row>
    <row r="3" spans="1:14" ht="14.2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4.2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39" customHeight="1" x14ac:dyDescent="0.55000000000000004">
      <c r="A8" s="59" t="s">
        <v>190</v>
      </c>
      <c r="B8" s="60">
        <f>SUM(F18:F59)</f>
        <v>0</v>
      </c>
      <c r="C8" s="60">
        <f>SUM(O18:O59)</f>
        <v>225</v>
      </c>
      <c r="D8" s="61">
        <f>IF(C8&lt;&gt;0,B8/C8,"N/A")</f>
        <v>0</v>
      </c>
      <c r="F8" s="47" t="s">
        <v>93</v>
      </c>
      <c r="G8" s="62">
        <f>COUNTIF(E18:E59,"Best Practice")</f>
        <v>0</v>
      </c>
      <c r="M8" s="55" t="s">
        <v>191</v>
      </c>
      <c r="N8" s="55">
        <v>0</v>
      </c>
    </row>
    <row r="9" spans="1:14" ht="26.25" customHeight="1" x14ac:dyDescent="0.45">
      <c r="F9" s="47" t="s">
        <v>94</v>
      </c>
      <c r="G9" s="62">
        <f>COUNTIF(E18:E59,"Verified")</f>
        <v>0</v>
      </c>
    </row>
    <row r="10" spans="1:14" ht="14.25" customHeight="1" x14ac:dyDescent="0.45">
      <c r="F10" s="47" t="s">
        <v>96</v>
      </c>
      <c r="G10" s="62">
        <f>COUNTIF(E18:E59,"Low")</f>
        <v>0</v>
      </c>
    </row>
    <row r="11" spans="1:14" ht="26.25" customHeight="1" x14ac:dyDescent="0.45">
      <c r="F11" s="47" t="s">
        <v>97</v>
      </c>
      <c r="G11" s="62">
        <f>COUNTIF(E18:E59,"Moderate")</f>
        <v>0</v>
      </c>
    </row>
    <row r="12" spans="1:14" ht="14.25" customHeight="1" x14ac:dyDescent="0.45">
      <c r="F12" s="47" t="s">
        <v>98</v>
      </c>
      <c r="G12" s="62">
        <f>COUNTIF(E18:E59,"High")</f>
        <v>0</v>
      </c>
    </row>
    <row r="13" spans="1:14" ht="26.25" customHeight="1" x14ac:dyDescent="0.45">
      <c r="F13" s="47" t="s">
        <v>99</v>
      </c>
      <c r="G13" s="62">
        <f>COUNTIF(E18:E59,"Very High")</f>
        <v>0</v>
      </c>
    </row>
    <row r="14" spans="1:14" ht="39" customHeight="1" x14ac:dyDescent="0.45">
      <c r="F14" s="47" t="s">
        <v>191</v>
      </c>
      <c r="G14" s="62">
        <f>COUNTIF(E18:E59,"Not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545</v>
      </c>
      <c r="B18" s="86"/>
      <c r="C18" s="86"/>
      <c r="D18" s="86"/>
      <c r="E18" s="86"/>
      <c r="F18" s="86"/>
      <c r="G18" s="86"/>
      <c r="H18" s="86"/>
      <c r="I18" s="86"/>
      <c r="J18" s="86"/>
      <c r="K18" s="86"/>
    </row>
    <row r="19" spans="1:15" ht="72" customHeight="1" x14ac:dyDescent="0.45">
      <c r="A19" s="67" t="s">
        <v>546</v>
      </c>
      <c r="B19" s="47" t="s">
        <v>547</v>
      </c>
      <c r="C19" s="47" t="s">
        <v>548</v>
      </c>
      <c r="D19" s="68" t="s">
        <v>549</v>
      </c>
      <c r="E19" s="48" t="s">
        <v>319</v>
      </c>
      <c r="F19" s="69">
        <f t="shared" ref="F19:F37" si="0">IFERROR(ROUND(G19*VLOOKUP(E19,$M$2:$N$8,2,FALSE())/100,1),0)</f>
        <v>0</v>
      </c>
      <c r="G19" s="48">
        <v>10</v>
      </c>
      <c r="H19" s="47"/>
      <c r="I19" s="47"/>
      <c r="J19" s="70" t="s">
        <v>550</v>
      </c>
      <c r="K19" s="47"/>
      <c r="O19" s="55">
        <f t="shared" ref="O19:O37" si="1">IF(E19="Not Applicable",0,G19)</f>
        <v>10</v>
      </c>
    </row>
    <row r="20" spans="1:15" ht="72" customHeight="1" x14ac:dyDescent="0.45">
      <c r="A20" s="67" t="s">
        <v>551</v>
      </c>
      <c r="B20" s="47" t="s">
        <v>547</v>
      </c>
      <c r="C20" s="47" t="s">
        <v>552</v>
      </c>
      <c r="D20" s="68" t="s">
        <v>553</v>
      </c>
      <c r="E20" s="48" t="s">
        <v>319</v>
      </c>
      <c r="F20" s="69">
        <f t="shared" si="0"/>
        <v>0</v>
      </c>
      <c r="G20" s="48">
        <v>8</v>
      </c>
      <c r="H20" s="47"/>
      <c r="I20" s="47"/>
      <c r="J20" s="70" t="s">
        <v>554</v>
      </c>
      <c r="K20" s="47"/>
      <c r="O20" s="55">
        <f t="shared" si="1"/>
        <v>8</v>
      </c>
    </row>
    <row r="21" spans="1:15" ht="60" customHeight="1" x14ac:dyDescent="0.45">
      <c r="A21" s="67" t="s">
        <v>555</v>
      </c>
      <c r="B21" s="47" t="s">
        <v>547</v>
      </c>
      <c r="C21" s="47" t="s">
        <v>556</v>
      </c>
      <c r="D21" s="68" t="s">
        <v>557</v>
      </c>
      <c r="E21" s="48" t="s">
        <v>319</v>
      </c>
      <c r="F21" s="69">
        <f t="shared" si="0"/>
        <v>0</v>
      </c>
      <c r="G21" s="48">
        <v>10</v>
      </c>
      <c r="H21" s="47"/>
      <c r="I21" s="47"/>
      <c r="J21" s="70" t="s">
        <v>558</v>
      </c>
      <c r="K21" s="47"/>
      <c r="O21" s="55">
        <f t="shared" si="1"/>
        <v>10</v>
      </c>
    </row>
    <row r="22" spans="1:15" ht="60" customHeight="1" x14ac:dyDescent="0.45">
      <c r="A22" s="67" t="s">
        <v>559</v>
      </c>
      <c r="B22" s="47" t="s">
        <v>547</v>
      </c>
      <c r="C22" s="47" t="s">
        <v>560</v>
      </c>
      <c r="D22" s="68" t="s">
        <v>561</v>
      </c>
      <c r="E22" s="48" t="s">
        <v>319</v>
      </c>
      <c r="F22" s="69">
        <f t="shared" si="0"/>
        <v>0</v>
      </c>
      <c r="G22" s="48">
        <v>5</v>
      </c>
      <c r="H22" s="47"/>
      <c r="I22" s="47"/>
      <c r="J22" s="70" t="s">
        <v>562</v>
      </c>
      <c r="K22" s="47"/>
      <c r="O22" s="55">
        <f t="shared" si="1"/>
        <v>5</v>
      </c>
    </row>
    <row r="23" spans="1:15" ht="108" customHeight="1" x14ac:dyDescent="0.45">
      <c r="A23" s="67" t="s">
        <v>563</v>
      </c>
      <c r="B23" s="47" t="s">
        <v>547</v>
      </c>
      <c r="C23" s="47" t="s">
        <v>564</v>
      </c>
      <c r="D23" s="68" t="s">
        <v>565</v>
      </c>
      <c r="E23" s="48" t="s">
        <v>319</v>
      </c>
      <c r="F23" s="69">
        <f t="shared" si="0"/>
        <v>0</v>
      </c>
      <c r="G23" s="48">
        <v>8</v>
      </c>
      <c r="H23" s="47"/>
      <c r="I23" s="47"/>
      <c r="J23" s="70" t="s">
        <v>566</v>
      </c>
      <c r="K23" s="47"/>
      <c r="O23" s="55">
        <f t="shared" si="1"/>
        <v>8</v>
      </c>
    </row>
    <row r="24" spans="1:15" ht="60" customHeight="1" x14ac:dyDescent="0.45">
      <c r="A24" s="67" t="s">
        <v>567</v>
      </c>
      <c r="B24" s="47" t="s">
        <v>547</v>
      </c>
      <c r="C24" s="47" t="s">
        <v>568</v>
      </c>
      <c r="D24" s="68" t="s">
        <v>569</v>
      </c>
      <c r="E24" s="48" t="s">
        <v>319</v>
      </c>
      <c r="F24" s="69">
        <f t="shared" si="0"/>
        <v>0</v>
      </c>
      <c r="G24" s="48">
        <v>8</v>
      </c>
      <c r="H24" s="47"/>
      <c r="I24" s="47"/>
      <c r="J24" s="70" t="s">
        <v>570</v>
      </c>
      <c r="K24" s="47"/>
      <c r="O24" s="55">
        <f t="shared" si="1"/>
        <v>8</v>
      </c>
    </row>
    <row r="25" spans="1:15" ht="60" customHeight="1" x14ac:dyDescent="0.45">
      <c r="A25" s="67" t="s">
        <v>571</v>
      </c>
      <c r="B25" s="47" t="s">
        <v>547</v>
      </c>
      <c r="C25" s="47" t="s">
        <v>572</v>
      </c>
      <c r="D25" s="68" t="s">
        <v>573</v>
      </c>
      <c r="E25" s="48" t="s">
        <v>319</v>
      </c>
      <c r="F25" s="69">
        <f t="shared" si="0"/>
        <v>0</v>
      </c>
      <c r="G25" s="48">
        <v>6</v>
      </c>
      <c r="H25" s="47"/>
      <c r="I25" s="47"/>
      <c r="J25" s="70" t="s">
        <v>574</v>
      </c>
      <c r="K25" s="47"/>
      <c r="O25" s="55">
        <f t="shared" si="1"/>
        <v>6</v>
      </c>
    </row>
    <row r="26" spans="1:15" ht="72" customHeight="1" x14ac:dyDescent="0.45">
      <c r="A26" s="67" t="s">
        <v>575</v>
      </c>
      <c r="B26" s="47" t="s">
        <v>547</v>
      </c>
      <c r="C26" s="47" t="s">
        <v>576</v>
      </c>
      <c r="D26" s="68" t="s">
        <v>577</v>
      </c>
      <c r="E26" s="48" t="s">
        <v>319</v>
      </c>
      <c r="F26" s="69">
        <f t="shared" si="0"/>
        <v>0</v>
      </c>
      <c r="G26" s="48">
        <v>4</v>
      </c>
      <c r="H26" s="47"/>
      <c r="I26" s="47"/>
      <c r="J26" s="70" t="s">
        <v>578</v>
      </c>
      <c r="K26" s="47"/>
      <c r="O26" s="55">
        <f t="shared" si="1"/>
        <v>4</v>
      </c>
    </row>
    <row r="27" spans="1:15" ht="96" customHeight="1" x14ac:dyDescent="0.45">
      <c r="A27" s="67" t="s">
        <v>579</v>
      </c>
      <c r="B27" s="47" t="s">
        <v>547</v>
      </c>
      <c r="C27" s="47" t="s">
        <v>580</v>
      </c>
      <c r="D27" s="68" t="s">
        <v>581</v>
      </c>
      <c r="E27" s="48" t="s">
        <v>319</v>
      </c>
      <c r="F27" s="69">
        <f t="shared" si="0"/>
        <v>0</v>
      </c>
      <c r="G27" s="48">
        <v>4</v>
      </c>
      <c r="H27" s="47"/>
      <c r="I27" s="47"/>
      <c r="J27" s="70" t="s">
        <v>582</v>
      </c>
      <c r="K27" s="47"/>
      <c r="O27" s="55">
        <f t="shared" si="1"/>
        <v>4</v>
      </c>
    </row>
    <row r="28" spans="1:15" ht="84" customHeight="1" x14ac:dyDescent="0.45">
      <c r="A28" s="67" t="s">
        <v>583</v>
      </c>
      <c r="B28" s="47" t="s">
        <v>547</v>
      </c>
      <c r="C28" s="47" t="s">
        <v>584</v>
      </c>
      <c r="D28" s="68" t="s">
        <v>585</v>
      </c>
      <c r="E28" s="48" t="s">
        <v>319</v>
      </c>
      <c r="F28" s="69">
        <f t="shared" si="0"/>
        <v>0</v>
      </c>
      <c r="G28" s="48">
        <v>10</v>
      </c>
      <c r="H28" s="47"/>
      <c r="I28" s="47"/>
      <c r="J28" s="70" t="s">
        <v>586</v>
      </c>
      <c r="K28" s="47"/>
      <c r="O28" s="55">
        <f t="shared" si="1"/>
        <v>10</v>
      </c>
    </row>
    <row r="29" spans="1:15" ht="228" customHeight="1" x14ac:dyDescent="0.45">
      <c r="A29" s="67" t="s">
        <v>587</v>
      </c>
      <c r="B29" s="47" t="s">
        <v>547</v>
      </c>
      <c r="C29" s="47" t="s">
        <v>588</v>
      </c>
      <c r="D29" s="68" t="s">
        <v>589</v>
      </c>
      <c r="E29" s="48" t="s">
        <v>319</v>
      </c>
      <c r="F29" s="69">
        <f t="shared" si="0"/>
        <v>0</v>
      </c>
      <c r="G29" s="48">
        <v>10</v>
      </c>
      <c r="H29" s="47"/>
      <c r="I29" s="47"/>
      <c r="J29" s="70" t="s">
        <v>590</v>
      </c>
      <c r="K29" s="47"/>
      <c r="O29" s="55">
        <f t="shared" si="1"/>
        <v>10</v>
      </c>
    </row>
    <row r="30" spans="1:15" ht="60" customHeight="1" x14ac:dyDescent="0.45">
      <c r="A30" s="67" t="s">
        <v>591</v>
      </c>
      <c r="B30" s="47" t="s">
        <v>547</v>
      </c>
      <c r="C30" s="47" t="s">
        <v>592</v>
      </c>
      <c r="D30" s="68" t="s">
        <v>593</v>
      </c>
      <c r="E30" s="48" t="s">
        <v>319</v>
      </c>
      <c r="F30" s="69">
        <f t="shared" si="0"/>
        <v>0</v>
      </c>
      <c r="G30" s="48">
        <v>8</v>
      </c>
      <c r="H30" s="47"/>
      <c r="I30" s="47"/>
      <c r="J30" s="70" t="s">
        <v>594</v>
      </c>
      <c r="K30" s="47"/>
      <c r="O30" s="55">
        <f t="shared" si="1"/>
        <v>8</v>
      </c>
    </row>
    <row r="31" spans="1:15" ht="84" customHeight="1" x14ac:dyDescent="0.45">
      <c r="A31" s="67" t="s">
        <v>595</v>
      </c>
      <c r="B31" s="47" t="s">
        <v>547</v>
      </c>
      <c r="C31" s="47" t="s">
        <v>596</v>
      </c>
      <c r="D31" s="68" t="s">
        <v>597</v>
      </c>
      <c r="E31" s="48" t="s">
        <v>319</v>
      </c>
      <c r="F31" s="69">
        <f t="shared" si="0"/>
        <v>0</v>
      </c>
      <c r="G31" s="48">
        <v>6</v>
      </c>
      <c r="H31" s="47"/>
      <c r="I31" s="47"/>
      <c r="J31" s="70" t="s">
        <v>598</v>
      </c>
      <c r="K31" s="47"/>
      <c r="O31" s="55">
        <f t="shared" si="1"/>
        <v>6</v>
      </c>
    </row>
    <row r="32" spans="1:15" ht="72" customHeight="1" x14ac:dyDescent="0.45">
      <c r="A32" s="67" t="s">
        <v>599</v>
      </c>
      <c r="B32" s="47" t="s">
        <v>547</v>
      </c>
      <c r="C32" s="47" t="s">
        <v>600</v>
      </c>
      <c r="D32" s="68" t="s">
        <v>601</v>
      </c>
      <c r="E32" s="48" t="s">
        <v>319</v>
      </c>
      <c r="F32" s="69">
        <f t="shared" si="0"/>
        <v>0</v>
      </c>
      <c r="G32" s="48">
        <v>4</v>
      </c>
      <c r="H32" s="47"/>
      <c r="I32" s="47"/>
      <c r="J32" s="70" t="s">
        <v>602</v>
      </c>
      <c r="K32" s="47"/>
      <c r="O32" s="55">
        <f t="shared" si="1"/>
        <v>4</v>
      </c>
    </row>
    <row r="33" spans="1:15" ht="144" customHeight="1" x14ac:dyDescent="0.45">
      <c r="A33" s="67" t="s">
        <v>603</v>
      </c>
      <c r="B33" s="47" t="s">
        <v>547</v>
      </c>
      <c r="C33" s="47" t="s">
        <v>604</v>
      </c>
      <c r="D33" s="68" t="s">
        <v>605</v>
      </c>
      <c r="E33" s="48" t="s">
        <v>319</v>
      </c>
      <c r="F33" s="69">
        <f t="shared" si="0"/>
        <v>0</v>
      </c>
      <c r="G33" s="48">
        <v>6</v>
      </c>
      <c r="H33" s="47"/>
      <c r="I33" s="47"/>
      <c r="J33" s="70" t="s">
        <v>606</v>
      </c>
      <c r="K33" s="47"/>
      <c r="O33" s="55">
        <f t="shared" si="1"/>
        <v>6</v>
      </c>
    </row>
    <row r="34" spans="1:15" ht="108" customHeight="1" x14ac:dyDescent="0.45">
      <c r="A34" s="67" t="s">
        <v>607</v>
      </c>
      <c r="B34" s="47" t="s">
        <v>547</v>
      </c>
      <c r="C34" s="47" t="s">
        <v>608</v>
      </c>
      <c r="D34" s="68" t="s">
        <v>609</v>
      </c>
      <c r="E34" s="48" t="s">
        <v>319</v>
      </c>
      <c r="F34" s="69">
        <f t="shared" si="0"/>
        <v>0</v>
      </c>
      <c r="G34" s="48">
        <v>10</v>
      </c>
      <c r="H34" s="47"/>
      <c r="I34" s="47"/>
      <c r="J34" s="70" t="s">
        <v>610</v>
      </c>
      <c r="K34" s="47"/>
      <c r="O34" s="55">
        <f t="shared" si="1"/>
        <v>10</v>
      </c>
    </row>
    <row r="35" spans="1:15" ht="84" customHeight="1" x14ac:dyDescent="0.45">
      <c r="A35" s="67" t="s">
        <v>611</v>
      </c>
      <c r="B35" s="47" t="s">
        <v>547</v>
      </c>
      <c r="C35" s="47" t="s">
        <v>612</v>
      </c>
      <c r="D35" s="68" t="s">
        <v>613</v>
      </c>
      <c r="E35" s="48" t="s">
        <v>319</v>
      </c>
      <c r="F35" s="69">
        <f t="shared" si="0"/>
        <v>0</v>
      </c>
      <c r="G35" s="48">
        <v>8</v>
      </c>
      <c r="H35" s="47"/>
      <c r="I35" s="47"/>
      <c r="J35" s="70" t="s">
        <v>614</v>
      </c>
      <c r="K35" s="47"/>
      <c r="O35" s="55">
        <f t="shared" si="1"/>
        <v>8</v>
      </c>
    </row>
    <row r="36" spans="1:15" ht="132" customHeight="1" x14ac:dyDescent="0.45">
      <c r="A36" s="67" t="s">
        <v>615</v>
      </c>
      <c r="B36" s="47" t="s">
        <v>547</v>
      </c>
      <c r="C36" s="47" t="s">
        <v>616</v>
      </c>
      <c r="D36" s="68" t="s">
        <v>617</v>
      </c>
      <c r="E36" s="48" t="s">
        <v>319</v>
      </c>
      <c r="F36" s="69">
        <f t="shared" si="0"/>
        <v>0</v>
      </c>
      <c r="G36" s="48">
        <v>8</v>
      </c>
      <c r="H36" s="47"/>
      <c r="I36" s="47"/>
      <c r="J36" s="70" t="s">
        <v>618</v>
      </c>
      <c r="K36" s="47"/>
      <c r="O36" s="55">
        <f t="shared" si="1"/>
        <v>8</v>
      </c>
    </row>
    <row r="37" spans="1:15" ht="84" customHeight="1" x14ac:dyDescent="0.45">
      <c r="A37" s="67" t="s">
        <v>619</v>
      </c>
      <c r="B37" s="47" t="s">
        <v>547</v>
      </c>
      <c r="C37" s="47" t="s">
        <v>620</v>
      </c>
      <c r="D37" s="68" t="s">
        <v>621</v>
      </c>
      <c r="E37" s="48" t="s">
        <v>319</v>
      </c>
      <c r="F37" s="69">
        <f t="shared" si="0"/>
        <v>0</v>
      </c>
      <c r="G37" s="48">
        <v>4</v>
      </c>
      <c r="H37" s="47"/>
      <c r="I37" s="47"/>
      <c r="J37" s="70" t="s">
        <v>622</v>
      </c>
      <c r="K37" s="47"/>
      <c r="O37" s="55">
        <f t="shared" si="1"/>
        <v>4</v>
      </c>
    </row>
    <row r="38" spans="1:15" ht="15.75" customHeight="1" x14ac:dyDescent="0.45">
      <c r="A38" s="120" t="s">
        <v>623</v>
      </c>
      <c r="B38" s="86"/>
      <c r="C38" s="86"/>
      <c r="D38" s="86"/>
      <c r="E38" s="86"/>
      <c r="F38" s="86"/>
      <c r="G38" s="86"/>
      <c r="H38" s="86"/>
      <c r="I38" s="86"/>
      <c r="J38" s="86"/>
      <c r="K38" s="86"/>
    </row>
    <row r="39" spans="1:15" ht="120" customHeight="1" x14ac:dyDescent="0.45">
      <c r="A39" s="67" t="s">
        <v>624</v>
      </c>
      <c r="B39" s="47" t="s">
        <v>625</v>
      </c>
      <c r="C39" s="47" t="s">
        <v>626</v>
      </c>
      <c r="D39" s="68" t="s">
        <v>627</v>
      </c>
      <c r="E39" s="48" t="s">
        <v>319</v>
      </c>
      <c r="F39" s="69">
        <f t="shared" ref="F39:F45" si="2">IFERROR(ROUND(G39*VLOOKUP(E39,$M$2:$N$8,2,FALSE())/100,1),0)</f>
        <v>0</v>
      </c>
      <c r="G39" s="48">
        <v>10</v>
      </c>
      <c r="H39" s="47"/>
      <c r="I39" s="47"/>
      <c r="J39" s="70" t="s">
        <v>628</v>
      </c>
      <c r="K39" s="47"/>
      <c r="O39" s="55">
        <f t="shared" ref="O39:O45" si="3">IF(E39="Not Applicable",0,G39)</f>
        <v>10</v>
      </c>
    </row>
    <row r="40" spans="1:15" ht="156" customHeight="1" x14ac:dyDescent="0.45">
      <c r="A40" s="67" t="s">
        <v>629</v>
      </c>
      <c r="B40" s="47" t="s">
        <v>625</v>
      </c>
      <c r="C40" s="47" t="s">
        <v>630</v>
      </c>
      <c r="D40" s="68" t="s">
        <v>631</v>
      </c>
      <c r="E40" s="48" t="s">
        <v>319</v>
      </c>
      <c r="F40" s="69">
        <f t="shared" si="2"/>
        <v>0</v>
      </c>
      <c r="G40" s="48">
        <v>8</v>
      </c>
      <c r="H40" s="47"/>
      <c r="I40" s="47"/>
      <c r="J40" s="70" t="s">
        <v>632</v>
      </c>
      <c r="K40" s="47"/>
      <c r="O40" s="55">
        <f t="shared" si="3"/>
        <v>8</v>
      </c>
    </row>
    <row r="41" spans="1:15" ht="84" customHeight="1" x14ac:dyDescent="0.45">
      <c r="A41" s="67" t="s">
        <v>633</v>
      </c>
      <c r="B41" s="47" t="s">
        <v>625</v>
      </c>
      <c r="C41" s="47" t="s">
        <v>634</v>
      </c>
      <c r="D41" s="68" t="s">
        <v>635</v>
      </c>
      <c r="E41" s="48" t="s">
        <v>319</v>
      </c>
      <c r="F41" s="69">
        <f t="shared" si="2"/>
        <v>0</v>
      </c>
      <c r="G41" s="48">
        <v>6</v>
      </c>
      <c r="H41" s="47"/>
      <c r="I41" s="47"/>
      <c r="J41" s="70" t="s">
        <v>636</v>
      </c>
      <c r="K41" s="47"/>
      <c r="O41" s="55">
        <f t="shared" si="3"/>
        <v>6</v>
      </c>
    </row>
    <row r="42" spans="1:15" ht="108" customHeight="1" x14ac:dyDescent="0.45">
      <c r="A42" s="67" t="s">
        <v>637</v>
      </c>
      <c r="B42" s="47" t="s">
        <v>625</v>
      </c>
      <c r="C42" s="47" t="s">
        <v>638</v>
      </c>
      <c r="D42" s="68" t="s">
        <v>639</v>
      </c>
      <c r="E42" s="48" t="s">
        <v>319</v>
      </c>
      <c r="F42" s="69">
        <f t="shared" si="2"/>
        <v>0</v>
      </c>
      <c r="G42" s="48">
        <v>6</v>
      </c>
      <c r="H42" s="47"/>
      <c r="I42" s="47"/>
      <c r="J42" s="70" t="s">
        <v>640</v>
      </c>
      <c r="K42" s="47"/>
      <c r="O42" s="55">
        <f t="shared" si="3"/>
        <v>6</v>
      </c>
    </row>
    <row r="43" spans="1:15" ht="108" customHeight="1" x14ac:dyDescent="0.45">
      <c r="A43" s="67" t="s">
        <v>641</v>
      </c>
      <c r="B43" s="47" t="s">
        <v>625</v>
      </c>
      <c r="C43" s="47" t="s">
        <v>642</v>
      </c>
      <c r="D43" s="68" t="s">
        <v>643</v>
      </c>
      <c r="E43" s="48" t="s">
        <v>319</v>
      </c>
      <c r="F43" s="69">
        <f t="shared" si="2"/>
        <v>0</v>
      </c>
      <c r="G43" s="48">
        <v>4</v>
      </c>
      <c r="H43" s="47"/>
      <c r="I43" s="47"/>
      <c r="J43" s="70" t="s">
        <v>644</v>
      </c>
      <c r="K43" s="47"/>
      <c r="O43" s="55">
        <f t="shared" si="3"/>
        <v>4</v>
      </c>
    </row>
    <row r="44" spans="1:15" ht="120" customHeight="1" x14ac:dyDescent="0.45">
      <c r="A44" s="67" t="s">
        <v>645</v>
      </c>
      <c r="B44" s="47" t="s">
        <v>625</v>
      </c>
      <c r="C44" s="47" t="s">
        <v>646</v>
      </c>
      <c r="D44" s="68" t="s">
        <v>647</v>
      </c>
      <c r="E44" s="48" t="s">
        <v>319</v>
      </c>
      <c r="F44" s="69">
        <f t="shared" si="2"/>
        <v>0</v>
      </c>
      <c r="G44" s="48">
        <v>6</v>
      </c>
      <c r="H44" s="47"/>
      <c r="I44" s="47"/>
      <c r="J44" s="70" t="s">
        <v>648</v>
      </c>
      <c r="K44" s="47"/>
      <c r="O44" s="55">
        <f t="shared" si="3"/>
        <v>6</v>
      </c>
    </row>
    <row r="45" spans="1:15" ht="84" customHeight="1" x14ac:dyDescent="0.45">
      <c r="A45" s="67" t="s">
        <v>649</v>
      </c>
      <c r="B45" s="47" t="s">
        <v>625</v>
      </c>
      <c r="C45" s="47" t="s">
        <v>650</v>
      </c>
      <c r="D45" s="68" t="s">
        <v>651</v>
      </c>
      <c r="E45" s="48" t="s">
        <v>319</v>
      </c>
      <c r="F45" s="69">
        <f t="shared" si="2"/>
        <v>0</v>
      </c>
      <c r="G45" s="48">
        <v>4</v>
      </c>
      <c r="H45" s="47"/>
      <c r="I45" s="47"/>
      <c r="J45" s="70" t="s">
        <v>652</v>
      </c>
      <c r="K45" s="47"/>
      <c r="O45" s="55">
        <f t="shared" si="3"/>
        <v>4</v>
      </c>
    </row>
    <row r="46" spans="1:15" ht="15.75" customHeight="1" x14ac:dyDescent="0.45">
      <c r="A46" s="120" t="s">
        <v>653</v>
      </c>
      <c r="B46" s="86"/>
      <c r="C46" s="86"/>
      <c r="D46" s="86"/>
      <c r="E46" s="86"/>
      <c r="F46" s="86"/>
      <c r="G46" s="86"/>
      <c r="H46" s="86"/>
      <c r="I46" s="86"/>
      <c r="J46" s="86"/>
      <c r="K46" s="86"/>
    </row>
    <row r="47" spans="1:15" ht="96" customHeight="1" x14ac:dyDescent="0.45">
      <c r="A47" s="67" t="s">
        <v>654</v>
      </c>
      <c r="B47" s="47" t="s">
        <v>655</v>
      </c>
      <c r="C47" s="47" t="s">
        <v>656</v>
      </c>
      <c r="D47" s="68" t="s">
        <v>657</v>
      </c>
      <c r="E47" s="48" t="s">
        <v>319</v>
      </c>
      <c r="F47" s="69">
        <f>IFERROR(ROUND(G47*VLOOKUP(E47,$M$2:$N$8,2,FALSE())/100,1),0)</f>
        <v>0</v>
      </c>
      <c r="G47" s="48">
        <v>4</v>
      </c>
      <c r="H47" s="47"/>
      <c r="I47" s="47"/>
      <c r="J47" s="70" t="s">
        <v>658</v>
      </c>
      <c r="K47" s="47"/>
      <c r="O47" s="55">
        <f>IF(E47="Not Applicable",0,G47)</f>
        <v>4</v>
      </c>
    </row>
    <row r="48" spans="1:15" ht="96" customHeight="1" x14ac:dyDescent="0.45">
      <c r="A48" s="67" t="s">
        <v>659</v>
      </c>
      <c r="B48" s="47" t="s">
        <v>655</v>
      </c>
      <c r="C48" s="47" t="s">
        <v>660</v>
      </c>
      <c r="D48" s="68" t="s">
        <v>661</v>
      </c>
      <c r="E48" s="48" t="s">
        <v>319</v>
      </c>
      <c r="F48" s="69">
        <f>IFERROR(ROUND(G48*VLOOKUP(E48,$M$2:$N$8,2,FALSE())/100,1),0)</f>
        <v>0</v>
      </c>
      <c r="G48" s="48">
        <v>4</v>
      </c>
      <c r="H48" s="47"/>
      <c r="I48" s="47"/>
      <c r="J48" s="70" t="s">
        <v>662</v>
      </c>
      <c r="K48" s="47"/>
      <c r="O48" s="55">
        <f>IF(E48="Not Applicable",0,G48)</f>
        <v>4</v>
      </c>
    </row>
    <row r="49" spans="1:15" ht="15.75" customHeight="1" x14ac:dyDescent="0.45">
      <c r="A49" s="120" t="s">
        <v>663</v>
      </c>
      <c r="B49" s="86"/>
      <c r="C49" s="86"/>
      <c r="D49" s="86"/>
      <c r="E49" s="86"/>
      <c r="F49" s="86"/>
      <c r="G49" s="86"/>
      <c r="H49" s="86"/>
      <c r="I49" s="86"/>
      <c r="J49" s="86"/>
      <c r="K49" s="86"/>
    </row>
    <row r="50" spans="1:15" ht="96" customHeight="1" x14ac:dyDescent="0.45">
      <c r="A50" s="67" t="s">
        <v>664</v>
      </c>
      <c r="B50" s="47" t="s">
        <v>665</v>
      </c>
      <c r="C50" s="47" t="s">
        <v>666</v>
      </c>
      <c r="D50" s="68" t="s">
        <v>667</v>
      </c>
      <c r="E50" s="48" t="s">
        <v>319</v>
      </c>
      <c r="F50" s="69">
        <f>IFERROR(ROUND(G50*VLOOKUP(E50,$M$2:$N$8,2,FALSE())/100,1),0)</f>
        <v>0</v>
      </c>
      <c r="G50" s="48">
        <v>5</v>
      </c>
      <c r="H50" s="47"/>
      <c r="I50" s="47"/>
      <c r="J50" s="70" t="s">
        <v>668</v>
      </c>
      <c r="K50" s="47"/>
      <c r="O50" s="55">
        <f>IF(E50="Not Applicable",0,G50)</f>
        <v>5</v>
      </c>
    </row>
    <row r="51" spans="1:15" ht="84" customHeight="1" x14ac:dyDescent="0.45">
      <c r="A51" s="67" t="s">
        <v>669</v>
      </c>
      <c r="B51" s="47" t="s">
        <v>665</v>
      </c>
      <c r="C51" s="47" t="s">
        <v>670</v>
      </c>
      <c r="D51" s="68" t="s">
        <v>671</v>
      </c>
      <c r="E51" s="48" t="s">
        <v>319</v>
      </c>
      <c r="F51" s="69">
        <f>IFERROR(ROUND(G51*VLOOKUP(E51,$M$2:$N$8,2,FALSE())/100,1),0)</f>
        <v>0</v>
      </c>
      <c r="G51" s="48">
        <v>3</v>
      </c>
      <c r="H51" s="47"/>
      <c r="I51" s="47"/>
      <c r="J51" s="70" t="s">
        <v>672</v>
      </c>
      <c r="K51" s="47"/>
      <c r="O51" s="55">
        <f>IF(E51="Not Applicable",0,G51)</f>
        <v>3</v>
      </c>
    </row>
    <row r="52" spans="1:15" ht="15.75" customHeight="1" x14ac:dyDescent="0.45">
      <c r="A52" s="120" t="s">
        <v>673</v>
      </c>
      <c r="B52" s="86"/>
      <c r="C52" s="86"/>
      <c r="D52" s="86"/>
      <c r="E52" s="86"/>
      <c r="F52" s="86"/>
      <c r="G52" s="86"/>
      <c r="H52" s="86"/>
      <c r="I52" s="86"/>
      <c r="J52" s="86"/>
      <c r="K52" s="86"/>
    </row>
    <row r="53" spans="1:15" ht="96" customHeight="1" x14ac:dyDescent="0.45">
      <c r="A53" s="67" t="s">
        <v>674</v>
      </c>
      <c r="B53" s="47" t="s">
        <v>675</v>
      </c>
      <c r="C53" s="47" t="s">
        <v>676</v>
      </c>
      <c r="D53" s="68" t="s">
        <v>677</v>
      </c>
      <c r="E53" s="48" t="s">
        <v>319</v>
      </c>
      <c r="F53" s="69">
        <f>IFERROR(ROUND(G53*VLOOKUP(E53,$M$2:$N$8,2,FALSE())/100,1),0)</f>
        <v>0</v>
      </c>
      <c r="G53" s="48">
        <v>4</v>
      </c>
      <c r="H53" s="47"/>
      <c r="I53" s="47"/>
      <c r="J53" s="70" t="s">
        <v>678</v>
      </c>
      <c r="K53" s="47"/>
      <c r="O53" s="55">
        <f>IF(E53="Not Applicable",0,G53)</f>
        <v>4</v>
      </c>
    </row>
    <row r="54" spans="1:15" ht="96" customHeight="1" x14ac:dyDescent="0.45">
      <c r="A54" s="67" t="s">
        <v>679</v>
      </c>
      <c r="B54" s="47" t="s">
        <v>675</v>
      </c>
      <c r="C54" s="47" t="s">
        <v>680</v>
      </c>
      <c r="D54" s="68" t="s">
        <v>681</v>
      </c>
      <c r="E54" s="48" t="s">
        <v>319</v>
      </c>
      <c r="F54" s="69">
        <f>IFERROR(ROUND(G54*VLOOKUP(E54,$M$2:$N$8,2,FALSE())/100,1),0)</f>
        <v>0</v>
      </c>
      <c r="G54" s="48">
        <v>4</v>
      </c>
      <c r="H54" s="47"/>
      <c r="I54" s="47"/>
      <c r="J54" s="70" t="s">
        <v>682</v>
      </c>
      <c r="K54" s="47"/>
      <c r="O54" s="55">
        <f>IF(E54="Not Applicable",0,G54)</f>
        <v>4</v>
      </c>
    </row>
    <row r="55" spans="1:15" ht="120" customHeight="1" x14ac:dyDescent="0.45">
      <c r="A55" s="67" t="s">
        <v>683</v>
      </c>
      <c r="B55" s="47" t="s">
        <v>675</v>
      </c>
      <c r="C55" s="47" t="s">
        <v>684</v>
      </c>
      <c r="D55" s="68" t="s">
        <v>685</v>
      </c>
      <c r="E55" s="48" t="s">
        <v>319</v>
      </c>
      <c r="F55" s="69">
        <f>IFERROR(ROUND(G55*VLOOKUP(E55,$M$2:$N$8,2,FALSE())/100,1),0)</f>
        <v>0</v>
      </c>
      <c r="G55" s="48">
        <v>6</v>
      </c>
      <c r="H55" s="47"/>
      <c r="I55" s="47"/>
      <c r="J55" s="70" t="s">
        <v>686</v>
      </c>
      <c r="K55" s="47"/>
      <c r="O55" s="55">
        <f>IF(E55="Not Applicable",0,G55)</f>
        <v>6</v>
      </c>
    </row>
    <row r="56" spans="1:15" ht="84" customHeight="1" x14ac:dyDescent="0.45">
      <c r="A56" s="67" t="s">
        <v>687</v>
      </c>
      <c r="B56" s="47" t="s">
        <v>675</v>
      </c>
      <c r="C56" s="47" t="s">
        <v>688</v>
      </c>
      <c r="D56" s="68" t="s">
        <v>689</v>
      </c>
      <c r="E56" s="48" t="s">
        <v>319</v>
      </c>
      <c r="F56" s="69">
        <f>IFERROR(ROUND(G56*VLOOKUP(E56,$M$2:$N$8,2,FALSE())/100,1),0)</f>
        <v>0</v>
      </c>
      <c r="G56" s="48">
        <v>4</v>
      </c>
      <c r="H56" s="47"/>
      <c r="I56" s="47"/>
      <c r="J56" s="70" t="s">
        <v>690</v>
      </c>
      <c r="K56" s="47"/>
      <c r="O56" s="55">
        <f>IF(E56="Not Applicable",0,G56)</f>
        <v>4</v>
      </c>
    </row>
    <row r="57" spans="1:15" ht="96" customHeight="1" x14ac:dyDescent="0.45">
      <c r="A57" s="67" t="s">
        <v>691</v>
      </c>
      <c r="B57" s="47" t="s">
        <v>675</v>
      </c>
      <c r="C57" s="47" t="s">
        <v>692</v>
      </c>
      <c r="D57" s="68" t="s">
        <v>693</v>
      </c>
      <c r="E57" s="48" t="s">
        <v>319</v>
      </c>
      <c r="F57" s="69">
        <f>IFERROR(ROUND(G57*VLOOKUP(E57,$M$2:$N$8,2,FALSE())/100,1),0)</f>
        <v>0</v>
      </c>
      <c r="G57" s="48">
        <v>4</v>
      </c>
      <c r="H57" s="47"/>
      <c r="I57" s="47"/>
      <c r="J57" s="70" t="s">
        <v>694</v>
      </c>
      <c r="K57" s="47"/>
      <c r="O57" s="55">
        <f>IF(E57="Not Applicable",0,G57)</f>
        <v>4</v>
      </c>
    </row>
    <row r="58" spans="1:15" ht="15.75" customHeight="1" x14ac:dyDescent="0.45">
      <c r="A58" s="120" t="s">
        <v>695</v>
      </c>
      <c r="B58" s="86"/>
      <c r="C58" s="86"/>
      <c r="D58" s="86"/>
      <c r="E58" s="86"/>
      <c r="F58" s="86"/>
      <c r="G58" s="86"/>
      <c r="H58" s="86"/>
      <c r="I58" s="86"/>
      <c r="J58" s="86"/>
      <c r="K58" s="86"/>
    </row>
    <row r="59" spans="1:15" ht="96" customHeight="1" x14ac:dyDescent="0.45">
      <c r="A59" s="67" t="s">
        <v>696</v>
      </c>
      <c r="B59" s="47" t="s">
        <v>697</v>
      </c>
      <c r="C59" s="47" t="s">
        <v>698</v>
      </c>
      <c r="D59" s="68" t="s">
        <v>699</v>
      </c>
      <c r="E59" s="48" t="s">
        <v>319</v>
      </c>
      <c r="F59" s="69">
        <f>IFERROR(ROUND(G59*VLOOKUP(E59,$M$2:$N$8,2,FALSE())/100,1),0)</f>
        <v>0</v>
      </c>
      <c r="G59" s="48">
        <v>6</v>
      </c>
      <c r="H59" s="47"/>
      <c r="I59" s="47"/>
      <c r="J59" s="70" t="s">
        <v>700</v>
      </c>
      <c r="K59" s="47"/>
      <c r="O59" s="55">
        <f>IF(E59="Not Applicable",0,G59)</f>
        <v>6</v>
      </c>
    </row>
  </sheetData>
  <mergeCells count="13">
    <mergeCell ref="A2:K2"/>
    <mergeCell ref="A49:K49"/>
    <mergeCell ref="A52:K52"/>
    <mergeCell ref="A46:K46"/>
    <mergeCell ref="A1:K1"/>
    <mergeCell ref="B4:C4"/>
    <mergeCell ref="A6:K6"/>
    <mergeCell ref="E4:F4"/>
    <mergeCell ref="H4:K4"/>
    <mergeCell ref="A18:K18"/>
    <mergeCell ref="A58:K58"/>
    <mergeCell ref="G15:H15"/>
    <mergeCell ref="A38:K38"/>
  </mergeCells>
  <conditionalFormatting sqref="E18:E59">
    <cfRule type="cellIs" dxfId="179" priority="2" operator="equal">
      <formula>"Best Practice"</formula>
    </cfRule>
    <cfRule type="cellIs" dxfId="178" priority="3" operator="equal">
      <formula>"Verified"</formula>
    </cfRule>
    <cfRule type="cellIs" dxfId="177" priority="4" operator="equal">
      <formula>"Low"</formula>
    </cfRule>
    <cfRule type="cellIs" dxfId="176" priority="5" operator="equal">
      <formula>"Moderate"</formula>
    </cfRule>
    <cfRule type="cellIs" dxfId="175" priority="6" operator="equal">
      <formula>"High"</formula>
    </cfRule>
    <cfRule type="cellIs" dxfId="174" priority="7" operator="equal">
      <formula>"Very High"</formula>
    </cfRule>
    <cfRule type="cellIs" dxfId="173" priority="8" operator="equal">
      <formula>"Not Applicable"</formula>
    </cfRule>
  </conditionalFormatting>
  <conditionalFormatting sqref="G15:H15">
    <cfRule type="cellIs" dxfId="172" priority="9" operator="equal">
      <formula>"Excellence Leader"</formula>
    </cfRule>
    <cfRule type="cellIs" dxfId="171" priority="10" operator="equal">
      <formula>"Gold"</formula>
    </cfRule>
    <cfRule type="cellIs" dxfId="170" priority="11" operator="equal">
      <formula>"Silver"</formula>
    </cfRule>
    <cfRule type="cellIs" dxfId="169" priority="12" operator="equal">
      <formula>"Bronze"</formula>
    </cfRule>
    <cfRule type="cellIs" dxfId="168" priority="13" operator="equal">
      <formula>"Developing"</formula>
    </cfRule>
  </conditionalFormatting>
  <dataValidations count="1">
    <dataValidation type="list" sqref="E19:E37 E39:E45 E47:E48 E50:E51 E53:E57 E59" xr:uid="{00000000-0002-0000-07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6"/>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1.9296875"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701</v>
      </c>
      <c r="B1" s="86"/>
      <c r="C1" s="86"/>
      <c r="D1" s="86"/>
      <c r="E1" s="86"/>
      <c r="F1" s="86"/>
      <c r="G1" s="86"/>
      <c r="H1" s="86"/>
      <c r="I1" s="86"/>
      <c r="J1" s="86"/>
      <c r="K1" s="86"/>
      <c r="M1" s="54" t="s">
        <v>90</v>
      </c>
      <c r="N1" s="54" t="s">
        <v>185</v>
      </c>
    </row>
    <row r="2" spans="1:14" ht="15.75" customHeight="1" x14ac:dyDescent="0.45">
      <c r="A2" s="122" t="s">
        <v>702</v>
      </c>
      <c r="B2" s="86"/>
      <c r="C2" s="86"/>
      <c r="D2" s="86"/>
      <c r="E2" s="86"/>
      <c r="F2" s="86"/>
      <c r="G2" s="86"/>
      <c r="H2" s="86"/>
      <c r="I2" s="86"/>
      <c r="J2" s="86"/>
      <c r="K2" s="86"/>
      <c r="M2" s="55" t="s">
        <v>93</v>
      </c>
      <c r="N2" s="55">
        <v>100</v>
      </c>
    </row>
    <row r="3" spans="1:14" ht="14.2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4.2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39" customHeight="1" x14ac:dyDescent="0.55000000000000004">
      <c r="A8" s="59" t="s">
        <v>190</v>
      </c>
      <c r="B8" s="60">
        <f>SUM(F18:F36)</f>
        <v>0</v>
      </c>
      <c r="C8" s="60">
        <f>SUM(O18:O36)</f>
        <v>142</v>
      </c>
      <c r="D8" s="61">
        <f>IF(C8&lt;&gt;0,B8/C8,"N/A")</f>
        <v>0</v>
      </c>
      <c r="F8" s="47" t="s">
        <v>93</v>
      </c>
      <c r="G8" s="62">
        <f>COUNTIF(E18:E36,"Best Practice")</f>
        <v>0</v>
      </c>
      <c r="M8" s="55" t="s">
        <v>191</v>
      </c>
      <c r="N8" s="55">
        <v>0</v>
      </c>
    </row>
    <row r="9" spans="1:14" ht="26.25" customHeight="1" x14ac:dyDescent="0.45">
      <c r="F9" s="47" t="s">
        <v>94</v>
      </c>
      <c r="G9" s="62">
        <f>COUNTIF(E18:E36,"Verified")</f>
        <v>0</v>
      </c>
    </row>
    <row r="10" spans="1:14" ht="14.25" customHeight="1" x14ac:dyDescent="0.45">
      <c r="F10" s="47" t="s">
        <v>96</v>
      </c>
      <c r="G10" s="62">
        <f>COUNTIF(E18:E36,"Low")</f>
        <v>0</v>
      </c>
    </row>
    <row r="11" spans="1:14" ht="26.25" customHeight="1" x14ac:dyDescent="0.45">
      <c r="F11" s="47" t="s">
        <v>97</v>
      </c>
      <c r="G11" s="62">
        <f>COUNTIF(E18:E36,"Moderate")</f>
        <v>0</v>
      </c>
    </row>
    <row r="12" spans="1:14" ht="14.25" customHeight="1" x14ac:dyDescent="0.45">
      <c r="F12" s="47" t="s">
        <v>98</v>
      </c>
      <c r="G12" s="62">
        <f>COUNTIF(E18:E36,"High")</f>
        <v>0</v>
      </c>
    </row>
    <row r="13" spans="1:14" ht="26.25" customHeight="1" x14ac:dyDescent="0.45">
      <c r="F13" s="47" t="s">
        <v>99</v>
      </c>
      <c r="G13" s="62">
        <f>COUNTIF(E18:E36,"Very High")</f>
        <v>0</v>
      </c>
    </row>
    <row r="14" spans="1:14" ht="39" customHeight="1" x14ac:dyDescent="0.45">
      <c r="F14" s="47" t="s">
        <v>191</v>
      </c>
      <c r="G14" s="62">
        <f>COUNTIF(E18:E36,"Not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196</v>
      </c>
      <c r="B18" s="86"/>
      <c r="C18" s="86"/>
      <c r="D18" s="86"/>
      <c r="E18" s="86"/>
      <c r="F18" s="86"/>
      <c r="G18" s="86"/>
      <c r="H18" s="86"/>
      <c r="I18" s="86"/>
      <c r="J18" s="86"/>
      <c r="K18" s="86"/>
    </row>
    <row r="19" spans="1:15" ht="84" customHeight="1" x14ac:dyDescent="0.45">
      <c r="A19" s="67" t="s">
        <v>703</v>
      </c>
      <c r="B19" s="47" t="s">
        <v>198</v>
      </c>
      <c r="C19" s="47" t="s">
        <v>704</v>
      </c>
      <c r="D19" s="68" t="s">
        <v>705</v>
      </c>
      <c r="E19" s="48" t="s">
        <v>319</v>
      </c>
      <c r="F19" s="69">
        <f t="shared" ref="F19:F33" si="0">IFERROR(ROUND(G19*VLOOKUP(E19,$M$2:$N$8,2,FALSE())/100,1),0)</f>
        <v>0</v>
      </c>
      <c r="G19" s="48">
        <v>10</v>
      </c>
      <c r="H19" s="47"/>
      <c r="I19" s="47"/>
      <c r="J19" s="70" t="s">
        <v>706</v>
      </c>
      <c r="K19" s="47"/>
      <c r="O19" s="55">
        <f t="shared" ref="O19:O33" si="1">IF(E19="Not Applicable",0,G19)</f>
        <v>10</v>
      </c>
    </row>
    <row r="20" spans="1:15" ht="204" customHeight="1" x14ac:dyDescent="0.45">
      <c r="A20" s="67" t="s">
        <v>707</v>
      </c>
      <c r="B20" s="47" t="s">
        <v>198</v>
      </c>
      <c r="C20" s="47" t="s">
        <v>708</v>
      </c>
      <c r="D20" s="68" t="s">
        <v>709</v>
      </c>
      <c r="E20" s="48" t="s">
        <v>319</v>
      </c>
      <c r="F20" s="69">
        <f t="shared" si="0"/>
        <v>0</v>
      </c>
      <c r="G20" s="48">
        <v>10</v>
      </c>
      <c r="H20" s="47"/>
      <c r="I20" s="47"/>
      <c r="J20" s="70" t="s">
        <v>710</v>
      </c>
      <c r="K20" s="47"/>
      <c r="O20" s="55">
        <f t="shared" si="1"/>
        <v>10</v>
      </c>
    </row>
    <row r="21" spans="1:15" ht="72" customHeight="1" x14ac:dyDescent="0.45">
      <c r="A21" s="67" t="s">
        <v>711</v>
      </c>
      <c r="B21" s="47" t="s">
        <v>198</v>
      </c>
      <c r="C21" s="47" t="s">
        <v>712</v>
      </c>
      <c r="D21" s="68" t="s">
        <v>713</v>
      </c>
      <c r="E21" s="48" t="s">
        <v>319</v>
      </c>
      <c r="F21" s="69">
        <f t="shared" si="0"/>
        <v>0</v>
      </c>
      <c r="G21" s="48">
        <v>6</v>
      </c>
      <c r="H21" s="47"/>
      <c r="I21" s="47"/>
      <c r="J21" s="70" t="s">
        <v>714</v>
      </c>
      <c r="K21" s="47"/>
      <c r="O21" s="55">
        <f t="shared" si="1"/>
        <v>6</v>
      </c>
    </row>
    <row r="22" spans="1:15" ht="108" customHeight="1" x14ac:dyDescent="0.45">
      <c r="A22" s="67" t="s">
        <v>715</v>
      </c>
      <c r="B22" s="47" t="s">
        <v>198</v>
      </c>
      <c r="C22" s="47" t="s">
        <v>716</v>
      </c>
      <c r="D22" s="68" t="s">
        <v>717</v>
      </c>
      <c r="E22" s="48" t="s">
        <v>319</v>
      </c>
      <c r="F22" s="69">
        <f t="shared" si="0"/>
        <v>0</v>
      </c>
      <c r="G22" s="48">
        <v>6</v>
      </c>
      <c r="H22" s="47"/>
      <c r="I22" s="47"/>
      <c r="J22" s="70" t="s">
        <v>718</v>
      </c>
      <c r="K22" s="47"/>
      <c r="O22" s="55">
        <f t="shared" si="1"/>
        <v>6</v>
      </c>
    </row>
    <row r="23" spans="1:15" ht="96" customHeight="1" x14ac:dyDescent="0.45">
      <c r="A23" s="67" t="s">
        <v>719</v>
      </c>
      <c r="B23" s="47" t="s">
        <v>198</v>
      </c>
      <c r="C23" s="47" t="s">
        <v>720</v>
      </c>
      <c r="D23" s="68" t="s">
        <v>721</v>
      </c>
      <c r="E23" s="48" t="s">
        <v>319</v>
      </c>
      <c r="F23" s="69">
        <f t="shared" si="0"/>
        <v>0</v>
      </c>
      <c r="G23" s="48">
        <v>8</v>
      </c>
      <c r="H23" s="47"/>
      <c r="I23" s="47"/>
      <c r="J23" s="70" t="s">
        <v>722</v>
      </c>
      <c r="K23" s="47"/>
      <c r="O23" s="55">
        <f t="shared" si="1"/>
        <v>8</v>
      </c>
    </row>
    <row r="24" spans="1:15" ht="156" customHeight="1" x14ac:dyDescent="0.45">
      <c r="A24" s="67" t="s">
        <v>723</v>
      </c>
      <c r="B24" s="47" t="s">
        <v>198</v>
      </c>
      <c r="C24" s="47" t="s">
        <v>724</v>
      </c>
      <c r="D24" s="68" t="s">
        <v>725</v>
      </c>
      <c r="E24" s="48" t="s">
        <v>319</v>
      </c>
      <c r="F24" s="69">
        <f t="shared" si="0"/>
        <v>0</v>
      </c>
      <c r="G24" s="48">
        <v>8</v>
      </c>
      <c r="H24" s="47"/>
      <c r="I24" s="47"/>
      <c r="J24" s="70" t="s">
        <v>726</v>
      </c>
      <c r="K24" s="47"/>
      <c r="O24" s="55">
        <f t="shared" si="1"/>
        <v>8</v>
      </c>
    </row>
    <row r="25" spans="1:15" ht="156" customHeight="1" x14ac:dyDescent="0.45">
      <c r="A25" s="67" t="s">
        <v>727</v>
      </c>
      <c r="B25" s="47" t="s">
        <v>198</v>
      </c>
      <c r="C25" s="47" t="s">
        <v>728</v>
      </c>
      <c r="D25" s="68" t="s">
        <v>729</v>
      </c>
      <c r="E25" s="48" t="s">
        <v>319</v>
      </c>
      <c r="F25" s="69">
        <f t="shared" si="0"/>
        <v>0</v>
      </c>
      <c r="G25" s="48">
        <v>10</v>
      </c>
      <c r="H25" s="47"/>
      <c r="I25" s="47"/>
      <c r="J25" s="70" t="s">
        <v>730</v>
      </c>
      <c r="K25" s="47"/>
      <c r="O25" s="55">
        <f t="shared" si="1"/>
        <v>10</v>
      </c>
    </row>
    <row r="26" spans="1:15" ht="192" customHeight="1" x14ac:dyDescent="0.45">
      <c r="A26" s="67" t="s">
        <v>731</v>
      </c>
      <c r="B26" s="47" t="s">
        <v>198</v>
      </c>
      <c r="C26" s="47" t="s">
        <v>732</v>
      </c>
      <c r="D26" s="68" t="s">
        <v>733</v>
      </c>
      <c r="E26" s="48" t="s">
        <v>319</v>
      </c>
      <c r="F26" s="69">
        <f t="shared" si="0"/>
        <v>0</v>
      </c>
      <c r="G26" s="48">
        <v>10</v>
      </c>
      <c r="H26" s="47"/>
      <c r="I26" s="47"/>
      <c r="J26" s="70" t="s">
        <v>734</v>
      </c>
      <c r="K26" s="47"/>
      <c r="O26" s="55">
        <f t="shared" si="1"/>
        <v>10</v>
      </c>
    </row>
    <row r="27" spans="1:15" ht="108" customHeight="1" x14ac:dyDescent="0.45">
      <c r="A27" s="67" t="s">
        <v>735</v>
      </c>
      <c r="B27" s="47" t="s">
        <v>198</v>
      </c>
      <c r="C27" s="47" t="s">
        <v>736</v>
      </c>
      <c r="D27" s="68" t="s">
        <v>737</v>
      </c>
      <c r="E27" s="48" t="s">
        <v>319</v>
      </c>
      <c r="F27" s="69">
        <f t="shared" si="0"/>
        <v>0</v>
      </c>
      <c r="G27" s="48">
        <v>8</v>
      </c>
      <c r="H27" s="47"/>
      <c r="I27" s="47"/>
      <c r="J27" s="70" t="s">
        <v>738</v>
      </c>
      <c r="K27" s="47"/>
      <c r="O27" s="55">
        <f t="shared" si="1"/>
        <v>8</v>
      </c>
    </row>
    <row r="28" spans="1:15" ht="84" customHeight="1" x14ac:dyDescent="0.45">
      <c r="A28" s="67" t="s">
        <v>739</v>
      </c>
      <c r="B28" s="47" t="s">
        <v>198</v>
      </c>
      <c r="C28" s="47" t="s">
        <v>740</v>
      </c>
      <c r="D28" s="68" t="s">
        <v>741</v>
      </c>
      <c r="E28" s="48" t="s">
        <v>319</v>
      </c>
      <c r="F28" s="69">
        <f t="shared" si="0"/>
        <v>0</v>
      </c>
      <c r="G28" s="48">
        <v>8</v>
      </c>
      <c r="H28" s="47"/>
      <c r="I28" s="47"/>
      <c r="J28" s="70" t="s">
        <v>742</v>
      </c>
      <c r="K28" s="47"/>
      <c r="O28" s="55">
        <f t="shared" si="1"/>
        <v>8</v>
      </c>
    </row>
    <row r="29" spans="1:15" ht="72" customHeight="1" x14ac:dyDescent="0.45">
      <c r="A29" s="67" t="s">
        <v>743</v>
      </c>
      <c r="B29" s="47" t="s">
        <v>198</v>
      </c>
      <c r="C29" s="47" t="s">
        <v>744</v>
      </c>
      <c r="D29" s="68" t="s">
        <v>745</v>
      </c>
      <c r="E29" s="48" t="s">
        <v>319</v>
      </c>
      <c r="F29" s="69">
        <f t="shared" si="0"/>
        <v>0</v>
      </c>
      <c r="G29" s="48">
        <v>6</v>
      </c>
      <c r="H29" s="47"/>
      <c r="I29" s="47"/>
      <c r="J29" s="70" t="s">
        <v>746</v>
      </c>
      <c r="K29" s="47"/>
      <c r="O29" s="55">
        <f t="shared" si="1"/>
        <v>6</v>
      </c>
    </row>
    <row r="30" spans="1:15" ht="132" customHeight="1" x14ac:dyDescent="0.45">
      <c r="A30" s="67" t="s">
        <v>747</v>
      </c>
      <c r="B30" s="47" t="s">
        <v>198</v>
      </c>
      <c r="C30" s="47" t="s">
        <v>748</v>
      </c>
      <c r="D30" s="68" t="s">
        <v>749</v>
      </c>
      <c r="E30" s="48" t="s">
        <v>319</v>
      </c>
      <c r="F30" s="69">
        <f t="shared" si="0"/>
        <v>0</v>
      </c>
      <c r="G30" s="48">
        <v>8</v>
      </c>
      <c r="H30" s="47"/>
      <c r="I30" s="47"/>
      <c r="J30" s="70" t="s">
        <v>750</v>
      </c>
      <c r="K30" s="47"/>
      <c r="O30" s="55">
        <f t="shared" si="1"/>
        <v>8</v>
      </c>
    </row>
    <row r="31" spans="1:15" ht="108" customHeight="1" x14ac:dyDescent="0.45">
      <c r="A31" s="67" t="s">
        <v>751</v>
      </c>
      <c r="B31" s="47" t="s">
        <v>198</v>
      </c>
      <c r="C31" s="47" t="s">
        <v>752</v>
      </c>
      <c r="D31" s="68" t="s">
        <v>753</v>
      </c>
      <c r="E31" s="48" t="s">
        <v>319</v>
      </c>
      <c r="F31" s="69">
        <f t="shared" si="0"/>
        <v>0</v>
      </c>
      <c r="G31" s="48">
        <v>8</v>
      </c>
      <c r="H31" s="47"/>
      <c r="I31" s="47"/>
      <c r="J31" s="70" t="s">
        <v>754</v>
      </c>
      <c r="K31" s="47"/>
      <c r="O31" s="55">
        <f t="shared" si="1"/>
        <v>8</v>
      </c>
    </row>
    <row r="32" spans="1:15" ht="96" customHeight="1" x14ac:dyDescent="0.45">
      <c r="A32" s="67" t="s">
        <v>755</v>
      </c>
      <c r="B32" s="47" t="s">
        <v>198</v>
      </c>
      <c r="C32" s="47" t="s">
        <v>756</v>
      </c>
      <c r="D32" s="68" t="s">
        <v>757</v>
      </c>
      <c r="E32" s="48" t="s">
        <v>319</v>
      </c>
      <c r="F32" s="69">
        <f t="shared" si="0"/>
        <v>0</v>
      </c>
      <c r="G32" s="48">
        <v>8</v>
      </c>
      <c r="H32" s="47"/>
      <c r="I32" s="47"/>
      <c r="J32" s="70" t="s">
        <v>758</v>
      </c>
      <c r="K32" s="47"/>
      <c r="O32" s="55">
        <f t="shared" si="1"/>
        <v>8</v>
      </c>
    </row>
    <row r="33" spans="1:15" ht="96" customHeight="1" x14ac:dyDescent="0.45">
      <c r="A33" s="67" t="s">
        <v>759</v>
      </c>
      <c r="B33" s="47" t="s">
        <v>198</v>
      </c>
      <c r="C33" s="47" t="s">
        <v>760</v>
      </c>
      <c r="D33" s="68" t="s">
        <v>761</v>
      </c>
      <c r="E33" s="48" t="s">
        <v>319</v>
      </c>
      <c r="F33" s="69">
        <f t="shared" si="0"/>
        <v>0</v>
      </c>
      <c r="G33" s="48">
        <v>8</v>
      </c>
      <c r="H33" s="47"/>
      <c r="I33" s="47"/>
      <c r="J33" s="70" t="s">
        <v>762</v>
      </c>
      <c r="K33" s="47"/>
      <c r="O33" s="55">
        <f t="shared" si="1"/>
        <v>8</v>
      </c>
    </row>
    <row r="34" spans="1:15" ht="15.75" customHeight="1" x14ac:dyDescent="0.45">
      <c r="A34" s="120" t="s">
        <v>763</v>
      </c>
      <c r="B34" s="86"/>
      <c r="C34" s="86"/>
      <c r="D34" s="86"/>
      <c r="E34" s="86"/>
      <c r="F34" s="86"/>
      <c r="G34" s="86"/>
      <c r="H34" s="86"/>
      <c r="I34" s="86"/>
      <c r="J34" s="86"/>
      <c r="K34" s="86"/>
    </row>
    <row r="35" spans="1:15" ht="228" customHeight="1" x14ac:dyDescent="0.45">
      <c r="A35" s="67" t="s">
        <v>764</v>
      </c>
      <c r="B35" s="47" t="s">
        <v>765</v>
      </c>
      <c r="C35" s="47" t="s">
        <v>766</v>
      </c>
      <c r="D35" s="68" t="s">
        <v>767</v>
      </c>
      <c r="E35" s="48" t="s">
        <v>319</v>
      </c>
      <c r="F35" s="69">
        <f>IFERROR(ROUND(G35*VLOOKUP(E35,$M$2:$N$8,2,FALSE())/100,1),0)</f>
        <v>0</v>
      </c>
      <c r="G35" s="48">
        <v>10</v>
      </c>
      <c r="H35" s="47"/>
      <c r="I35" s="47"/>
      <c r="J35" s="70" t="s">
        <v>768</v>
      </c>
      <c r="K35" s="47"/>
      <c r="O35" s="55">
        <f>IF(E35="Not Applicable",0,G35)</f>
        <v>10</v>
      </c>
    </row>
    <row r="36" spans="1:15" ht="204" customHeight="1" x14ac:dyDescent="0.45">
      <c r="A36" s="67" t="s">
        <v>769</v>
      </c>
      <c r="B36" s="47" t="s">
        <v>765</v>
      </c>
      <c r="C36" s="47" t="s">
        <v>770</v>
      </c>
      <c r="D36" s="68" t="s">
        <v>771</v>
      </c>
      <c r="E36" s="48" t="s">
        <v>319</v>
      </c>
      <c r="F36" s="69">
        <f>IFERROR(ROUND(G36*VLOOKUP(E36,$M$2:$N$8,2,FALSE())/100,1),0)</f>
        <v>0</v>
      </c>
      <c r="G36" s="48">
        <v>10</v>
      </c>
      <c r="H36" s="47"/>
      <c r="I36" s="47"/>
      <c r="J36" s="70" t="s">
        <v>772</v>
      </c>
      <c r="K36" s="47"/>
      <c r="O36" s="55">
        <f>IF(E36="Not Applicable",0,G36)</f>
        <v>10</v>
      </c>
    </row>
  </sheetData>
  <mergeCells count="9">
    <mergeCell ref="A2:K2"/>
    <mergeCell ref="A1:K1"/>
    <mergeCell ref="B4:C4"/>
    <mergeCell ref="A6:K6"/>
    <mergeCell ref="E4:F4"/>
    <mergeCell ref="A34:K34"/>
    <mergeCell ref="A18:K18"/>
    <mergeCell ref="H4:K4"/>
    <mergeCell ref="G15:H15"/>
  </mergeCells>
  <conditionalFormatting sqref="E18:E36">
    <cfRule type="cellIs" dxfId="167" priority="2" operator="equal">
      <formula>"Best Practice"</formula>
    </cfRule>
    <cfRule type="cellIs" dxfId="166" priority="3" operator="equal">
      <formula>"Verified"</formula>
    </cfRule>
    <cfRule type="cellIs" dxfId="165" priority="4" operator="equal">
      <formula>"Low"</formula>
    </cfRule>
    <cfRule type="cellIs" dxfId="164" priority="5" operator="equal">
      <formula>"Moderate"</formula>
    </cfRule>
    <cfRule type="cellIs" dxfId="163" priority="6" operator="equal">
      <formula>"High"</formula>
    </cfRule>
    <cfRule type="cellIs" dxfId="162" priority="7" operator="equal">
      <formula>"Very High"</formula>
    </cfRule>
    <cfRule type="cellIs" dxfId="161" priority="8" operator="equal">
      <formula>"Not Applicable"</formula>
    </cfRule>
  </conditionalFormatting>
  <conditionalFormatting sqref="G15:H15">
    <cfRule type="cellIs" dxfId="160" priority="9" operator="equal">
      <formula>"Excellence Leader"</formula>
    </cfRule>
    <cfRule type="cellIs" dxfId="159" priority="10" operator="equal">
      <formula>"Gold"</formula>
    </cfRule>
    <cfRule type="cellIs" dxfId="158" priority="11" operator="equal">
      <formula>"Silver"</formula>
    </cfRule>
    <cfRule type="cellIs" dxfId="157" priority="12" operator="equal">
      <formula>"Bronze"</formula>
    </cfRule>
    <cfRule type="cellIs" dxfId="156" priority="13" operator="equal">
      <formula>"Developing"</formula>
    </cfRule>
  </conditionalFormatting>
  <dataValidations count="1">
    <dataValidation type="list" sqref="E19:E33 E35:E36" xr:uid="{00000000-0002-0000-08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0"/>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773</v>
      </c>
      <c r="B1" s="86"/>
      <c r="C1" s="86"/>
      <c r="D1" s="86"/>
      <c r="E1" s="86"/>
      <c r="F1" s="86"/>
      <c r="G1" s="86"/>
      <c r="H1" s="86"/>
      <c r="I1" s="86"/>
      <c r="J1" s="86"/>
      <c r="K1" s="86"/>
      <c r="M1" s="54" t="s">
        <v>90</v>
      </c>
      <c r="N1" s="54" t="s">
        <v>185</v>
      </c>
    </row>
    <row r="2" spans="1:14" ht="15.75" customHeight="1" x14ac:dyDescent="0.45">
      <c r="A2" s="122" t="s">
        <v>774</v>
      </c>
      <c r="B2" s="86"/>
      <c r="C2" s="86"/>
      <c r="D2" s="86"/>
      <c r="E2" s="86"/>
      <c r="F2" s="86"/>
      <c r="G2" s="86"/>
      <c r="H2" s="86"/>
      <c r="I2" s="86"/>
      <c r="J2" s="86"/>
      <c r="K2" s="86"/>
      <c r="M2" s="55" t="s">
        <v>93</v>
      </c>
      <c r="N2" s="55">
        <v>100</v>
      </c>
    </row>
    <row r="3" spans="1:14" ht="1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SUM(F18:F40)</f>
        <v>0</v>
      </c>
      <c r="C8" s="60">
        <f>SUM(O18:O40)</f>
        <v>147</v>
      </c>
      <c r="D8" s="61">
        <f>IF(C8&lt;&gt;0,B8/C8,"N/A")</f>
        <v>0</v>
      </c>
      <c r="F8" s="47" t="s">
        <v>93</v>
      </c>
      <c r="G8" s="62">
        <f>COUNTIF(E18:E40,"Best Practice")</f>
        <v>0</v>
      </c>
      <c r="M8" s="55" t="s">
        <v>191</v>
      </c>
      <c r="N8" s="55">
        <v>0</v>
      </c>
    </row>
    <row r="9" spans="1:14" ht="15" customHeight="1" x14ac:dyDescent="0.45">
      <c r="F9" s="47" t="s">
        <v>94</v>
      </c>
      <c r="G9" s="62">
        <f>COUNTIF(E18:E40,"Verified")</f>
        <v>0</v>
      </c>
    </row>
    <row r="10" spans="1:14" ht="15" customHeight="1" x14ac:dyDescent="0.45">
      <c r="F10" s="47" t="s">
        <v>96</v>
      </c>
      <c r="G10" s="62">
        <f>COUNTIF(E18:E40,"Low")</f>
        <v>0</v>
      </c>
    </row>
    <row r="11" spans="1:14" ht="15" customHeight="1" x14ac:dyDescent="0.45">
      <c r="F11" s="47" t="s">
        <v>97</v>
      </c>
      <c r="G11" s="62">
        <f>COUNTIF(E18:E40,"Moderate")</f>
        <v>0</v>
      </c>
    </row>
    <row r="12" spans="1:14" ht="15" customHeight="1" x14ac:dyDescent="0.45">
      <c r="F12" s="47" t="s">
        <v>98</v>
      </c>
      <c r="G12" s="62">
        <f>COUNTIF(E18:E40,"High")</f>
        <v>0</v>
      </c>
    </row>
    <row r="13" spans="1:14" ht="15" customHeight="1" x14ac:dyDescent="0.45">
      <c r="F13" s="47" t="s">
        <v>99</v>
      </c>
      <c r="G13" s="62">
        <f>COUNTIF(E18:E40,"Very High")</f>
        <v>0</v>
      </c>
    </row>
    <row r="14" spans="1:14" ht="21.75" customHeight="1" x14ac:dyDescent="0.45">
      <c r="F14" s="47" t="s">
        <v>191</v>
      </c>
      <c r="G14" s="62">
        <f>COUNTIF(E18:E40,"Not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775</v>
      </c>
      <c r="B18" s="86"/>
      <c r="C18" s="86"/>
      <c r="D18" s="86"/>
      <c r="E18" s="86"/>
      <c r="F18" s="86"/>
      <c r="G18" s="86"/>
      <c r="H18" s="86"/>
      <c r="I18" s="86"/>
      <c r="J18" s="86"/>
      <c r="K18" s="86"/>
    </row>
    <row r="19" spans="1:15" ht="72" customHeight="1" x14ac:dyDescent="0.45">
      <c r="A19" s="67" t="s">
        <v>776</v>
      </c>
      <c r="B19" s="47" t="s">
        <v>777</v>
      </c>
      <c r="C19" s="47" t="s">
        <v>778</v>
      </c>
      <c r="D19" s="68" t="s">
        <v>779</v>
      </c>
      <c r="E19" s="48" t="s">
        <v>319</v>
      </c>
      <c r="F19" s="69">
        <f t="shared" ref="F19:F25" si="0">IFERROR(ROUND(G19*VLOOKUP(E19,$M$2:$N$8,2,FALSE())/100,1),0)</f>
        <v>0</v>
      </c>
      <c r="G19" s="48">
        <v>8</v>
      </c>
      <c r="H19" s="47"/>
      <c r="I19" s="47"/>
      <c r="J19" s="70" t="s">
        <v>780</v>
      </c>
      <c r="K19" s="47"/>
      <c r="O19" s="55">
        <f t="shared" ref="O19:O25" si="1">IF(E19="Not Applicable",0,G19)</f>
        <v>8</v>
      </c>
    </row>
    <row r="20" spans="1:15" ht="72" customHeight="1" x14ac:dyDescent="0.45">
      <c r="A20" s="67" t="s">
        <v>781</v>
      </c>
      <c r="B20" s="47" t="s">
        <v>777</v>
      </c>
      <c r="C20" s="47" t="s">
        <v>782</v>
      </c>
      <c r="D20" s="68" t="s">
        <v>783</v>
      </c>
      <c r="E20" s="48" t="s">
        <v>319</v>
      </c>
      <c r="F20" s="69">
        <f t="shared" si="0"/>
        <v>0</v>
      </c>
      <c r="G20" s="48">
        <v>6</v>
      </c>
      <c r="H20" s="47"/>
      <c r="I20" s="47"/>
      <c r="J20" s="70" t="s">
        <v>784</v>
      </c>
      <c r="K20" s="47"/>
      <c r="O20" s="55">
        <f t="shared" si="1"/>
        <v>6</v>
      </c>
    </row>
    <row r="21" spans="1:15" ht="72" customHeight="1" x14ac:dyDescent="0.45">
      <c r="A21" s="67" t="s">
        <v>785</v>
      </c>
      <c r="B21" s="47" t="s">
        <v>777</v>
      </c>
      <c r="C21" s="47" t="s">
        <v>786</v>
      </c>
      <c r="D21" s="68" t="s">
        <v>787</v>
      </c>
      <c r="E21" s="48" t="s">
        <v>319</v>
      </c>
      <c r="F21" s="69">
        <f t="shared" si="0"/>
        <v>0</v>
      </c>
      <c r="G21" s="48">
        <v>10</v>
      </c>
      <c r="H21" s="47"/>
      <c r="I21" s="47"/>
      <c r="J21" s="70" t="s">
        <v>788</v>
      </c>
      <c r="K21" s="47"/>
      <c r="O21" s="55">
        <f t="shared" si="1"/>
        <v>10</v>
      </c>
    </row>
    <row r="22" spans="1:15" ht="96" customHeight="1" x14ac:dyDescent="0.45">
      <c r="A22" s="67" t="s">
        <v>789</v>
      </c>
      <c r="B22" s="47" t="s">
        <v>777</v>
      </c>
      <c r="C22" s="47" t="s">
        <v>790</v>
      </c>
      <c r="D22" s="68" t="s">
        <v>791</v>
      </c>
      <c r="E22" s="48" t="s">
        <v>319</v>
      </c>
      <c r="F22" s="69">
        <f t="shared" si="0"/>
        <v>0</v>
      </c>
      <c r="G22" s="48">
        <v>8</v>
      </c>
      <c r="H22" s="47"/>
      <c r="I22" s="47"/>
      <c r="J22" s="70" t="s">
        <v>792</v>
      </c>
      <c r="K22" s="47"/>
      <c r="O22" s="55">
        <f t="shared" si="1"/>
        <v>8</v>
      </c>
    </row>
    <row r="23" spans="1:15" ht="96" customHeight="1" x14ac:dyDescent="0.45">
      <c r="A23" s="67" t="s">
        <v>793</v>
      </c>
      <c r="B23" s="47" t="s">
        <v>777</v>
      </c>
      <c r="C23" s="47" t="s">
        <v>794</v>
      </c>
      <c r="D23" s="68" t="s">
        <v>795</v>
      </c>
      <c r="E23" s="48" t="s">
        <v>319</v>
      </c>
      <c r="F23" s="69">
        <f t="shared" si="0"/>
        <v>0</v>
      </c>
      <c r="G23" s="48">
        <v>10</v>
      </c>
      <c r="H23" s="47"/>
      <c r="I23" s="47"/>
      <c r="J23" s="70" t="s">
        <v>796</v>
      </c>
      <c r="K23" s="47"/>
      <c r="O23" s="55">
        <f t="shared" si="1"/>
        <v>10</v>
      </c>
    </row>
    <row r="24" spans="1:15" ht="72" customHeight="1" x14ac:dyDescent="0.45">
      <c r="A24" s="67" t="s">
        <v>797</v>
      </c>
      <c r="B24" s="47" t="s">
        <v>777</v>
      </c>
      <c r="C24" s="47" t="s">
        <v>798</v>
      </c>
      <c r="D24" s="68" t="s">
        <v>799</v>
      </c>
      <c r="E24" s="48" t="s">
        <v>319</v>
      </c>
      <c r="F24" s="69">
        <f t="shared" si="0"/>
        <v>0</v>
      </c>
      <c r="G24" s="48">
        <v>6</v>
      </c>
      <c r="H24" s="47"/>
      <c r="I24" s="47"/>
      <c r="J24" s="70" t="s">
        <v>800</v>
      </c>
      <c r="K24" s="47"/>
      <c r="O24" s="55">
        <f t="shared" si="1"/>
        <v>6</v>
      </c>
    </row>
    <row r="25" spans="1:15" ht="96" customHeight="1" x14ac:dyDescent="0.45">
      <c r="A25" s="67" t="s">
        <v>801</v>
      </c>
      <c r="B25" s="47" t="s">
        <v>777</v>
      </c>
      <c r="C25" s="47" t="s">
        <v>802</v>
      </c>
      <c r="D25" s="68" t="s">
        <v>803</v>
      </c>
      <c r="E25" s="48" t="s">
        <v>319</v>
      </c>
      <c r="F25" s="69">
        <f t="shared" si="0"/>
        <v>0</v>
      </c>
      <c r="G25" s="48">
        <v>8</v>
      </c>
      <c r="H25" s="47"/>
      <c r="I25" s="47"/>
      <c r="J25" s="70" t="s">
        <v>804</v>
      </c>
      <c r="K25" s="47"/>
      <c r="O25" s="55">
        <f t="shared" si="1"/>
        <v>8</v>
      </c>
    </row>
    <row r="26" spans="1:15" ht="15.75" customHeight="1" x14ac:dyDescent="0.45">
      <c r="A26" s="120" t="s">
        <v>805</v>
      </c>
      <c r="B26" s="86"/>
      <c r="C26" s="86"/>
      <c r="D26" s="86"/>
      <c r="E26" s="86"/>
      <c r="F26" s="86"/>
      <c r="G26" s="86"/>
      <c r="H26" s="86"/>
      <c r="I26" s="86"/>
      <c r="J26" s="86"/>
      <c r="K26" s="86"/>
    </row>
    <row r="27" spans="1:15" ht="60" customHeight="1" x14ac:dyDescent="0.45">
      <c r="A27" s="67" t="s">
        <v>806</v>
      </c>
      <c r="B27" s="47" t="s">
        <v>807</v>
      </c>
      <c r="C27" s="47" t="s">
        <v>808</v>
      </c>
      <c r="D27" s="68" t="s">
        <v>809</v>
      </c>
      <c r="E27" s="48" t="s">
        <v>319</v>
      </c>
      <c r="F27" s="69">
        <f>IFERROR(ROUND(G27*VLOOKUP(E27,$M$2:$N$8,2,FALSE())/100,1),0)</f>
        <v>0</v>
      </c>
      <c r="G27" s="48">
        <v>8</v>
      </c>
      <c r="H27" s="47"/>
      <c r="I27" s="47"/>
      <c r="J27" s="70" t="s">
        <v>810</v>
      </c>
      <c r="K27" s="47"/>
      <c r="O27" s="55">
        <f>IF(E27="Not Applicable",0,G27)</f>
        <v>8</v>
      </c>
    </row>
    <row r="28" spans="1:15" ht="60" customHeight="1" x14ac:dyDescent="0.45">
      <c r="A28" s="67" t="s">
        <v>811</v>
      </c>
      <c r="B28" s="47" t="s">
        <v>807</v>
      </c>
      <c r="C28" s="47" t="s">
        <v>812</v>
      </c>
      <c r="D28" s="68" t="s">
        <v>813</v>
      </c>
      <c r="E28" s="48" t="s">
        <v>319</v>
      </c>
      <c r="F28" s="69">
        <f>IFERROR(ROUND(G28*VLOOKUP(E28,$M$2:$N$8,2,FALSE())/100,1),0)</f>
        <v>0</v>
      </c>
      <c r="G28" s="48">
        <v>6</v>
      </c>
      <c r="H28" s="47"/>
      <c r="I28" s="47"/>
      <c r="J28" s="70" t="s">
        <v>814</v>
      </c>
      <c r="K28" s="47"/>
      <c r="O28" s="55">
        <f>IF(E28="Not Applicable",0,G28)</f>
        <v>6</v>
      </c>
    </row>
    <row r="29" spans="1:15" ht="108" customHeight="1" x14ac:dyDescent="0.45">
      <c r="A29" s="67" t="s">
        <v>815</v>
      </c>
      <c r="B29" s="47" t="s">
        <v>807</v>
      </c>
      <c r="C29" s="47" t="s">
        <v>816</v>
      </c>
      <c r="D29" s="68" t="s">
        <v>817</v>
      </c>
      <c r="E29" s="48" t="s">
        <v>319</v>
      </c>
      <c r="F29" s="69">
        <f>IFERROR(ROUND(G29*VLOOKUP(E29,$M$2:$N$8,2,FALSE())/100,1),0)</f>
        <v>0</v>
      </c>
      <c r="G29" s="48">
        <v>8</v>
      </c>
      <c r="H29" s="47"/>
      <c r="I29" s="47"/>
      <c r="J29" s="70" t="s">
        <v>818</v>
      </c>
      <c r="K29" s="47"/>
      <c r="O29" s="55">
        <f>IF(E29="Not Applicable",0,G29)</f>
        <v>8</v>
      </c>
    </row>
    <row r="30" spans="1:15" ht="84" customHeight="1" x14ac:dyDescent="0.45">
      <c r="A30" s="67" t="s">
        <v>819</v>
      </c>
      <c r="B30" s="47" t="s">
        <v>807</v>
      </c>
      <c r="C30" s="47" t="s">
        <v>820</v>
      </c>
      <c r="D30" s="68" t="s">
        <v>821</v>
      </c>
      <c r="E30" s="48" t="s">
        <v>319</v>
      </c>
      <c r="F30" s="69">
        <f>IFERROR(ROUND(G30*VLOOKUP(E30,$M$2:$N$8,2,FALSE())/100,1),0)</f>
        <v>0</v>
      </c>
      <c r="G30" s="48">
        <v>5</v>
      </c>
      <c r="H30" s="47"/>
      <c r="I30" s="47"/>
      <c r="J30" s="70" t="s">
        <v>822</v>
      </c>
      <c r="K30" s="47"/>
      <c r="O30" s="55">
        <f>IF(E30="Not Applicable",0,G30)</f>
        <v>5</v>
      </c>
    </row>
    <row r="31" spans="1:15" ht="72" customHeight="1" x14ac:dyDescent="0.45">
      <c r="A31" s="67" t="s">
        <v>823</v>
      </c>
      <c r="B31" s="47" t="s">
        <v>807</v>
      </c>
      <c r="C31" s="47" t="s">
        <v>824</v>
      </c>
      <c r="D31" s="68" t="s">
        <v>825</v>
      </c>
      <c r="E31" s="48" t="s">
        <v>319</v>
      </c>
      <c r="F31" s="69">
        <f>IFERROR(ROUND(G31*VLOOKUP(E31,$M$2:$N$8,2,FALSE())/100,1),0)</f>
        <v>0</v>
      </c>
      <c r="G31" s="48">
        <v>8</v>
      </c>
      <c r="H31" s="47"/>
      <c r="I31" s="47"/>
      <c r="J31" s="70" t="s">
        <v>826</v>
      </c>
      <c r="K31" s="47"/>
      <c r="O31" s="55">
        <f>IF(E31="Not Applicable",0,G31)</f>
        <v>8</v>
      </c>
    </row>
    <row r="32" spans="1:15" ht="15.75" customHeight="1" x14ac:dyDescent="0.45">
      <c r="A32" s="120" t="s">
        <v>827</v>
      </c>
      <c r="B32" s="86"/>
      <c r="C32" s="86"/>
      <c r="D32" s="86"/>
      <c r="E32" s="86"/>
      <c r="F32" s="86"/>
      <c r="G32" s="86"/>
      <c r="H32" s="86"/>
      <c r="I32" s="86"/>
      <c r="J32" s="86"/>
      <c r="K32" s="86"/>
    </row>
    <row r="33" spans="1:15" ht="72" customHeight="1" x14ac:dyDescent="0.45">
      <c r="A33" s="67" t="s">
        <v>828</v>
      </c>
      <c r="B33" s="47" t="s">
        <v>829</v>
      </c>
      <c r="C33" s="47" t="s">
        <v>830</v>
      </c>
      <c r="D33" s="68" t="s">
        <v>831</v>
      </c>
      <c r="E33" s="48" t="s">
        <v>319</v>
      </c>
      <c r="F33" s="69">
        <f>IFERROR(ROUND(G33*VLOOKUP(E33,$M$2:$N$8,2,FALSE())/100,1),0)</f>
        <v>0</v>
      </c>
      <c r="G33" s="48">
        <v>10</v>
      </c>
      <c r="H33" s="47"/>
      <c r="I33" s="47"/>
      <c r="J33" s="70" t="s">
        <v>832</v>
      </c>
      <c r="K33" s="47"/>
      <c r="O33" s="55">
        <f>IF(E33="Not Applicable",0,G33)</f>
        <v>10</v>
      </c>
    </row>
    <row r="34" spans="1:15" ht="216" customHeight="1" x14ac:dyDescent="0.45">
      <c r="A34" s="67" t="s">
        <v>833</v>
      </c>
      <c r="B34" s="47" t="s">
        <v>829</v>
      </c>
      <c r="C34" s="47" t="s">
        <v>834</v>
      </c>
      <c r="D34" s="68" t="s">
        <v>835</v>
      </c>
      <c r="E34" s="48" t="s">
        <v>319</v>
      </c>
      <c r="F34" s="69">
        <f>IFERROR(ROUND(G34*VLOOKUP(E34,$M$2:$N$8,2,FALSE())/100,1),0)</f>
        <v>0</v>
      </c>
      <c r="G34" s="48">
        <v>10</v>
      </c>
      <c r="H34" s="47"/>
      <c r="I34" s="47"/>
      <c r="J34" s="70" t="s">
        <v>836</v>
      </c>
      <c r="K34" s="47"/>
      <c r="O34" s="55">
        <f>IF(E34="Not Applicable",0,G34)</f>
        <v>10</v>
      </c>
    </row>
    <row r="35" spans="1:15" ht="84" customHeight="1" x14ac:dyDescent="0.45">
      <c r="A35" s="67" t="s">
        <v>837</v>
      </c>
      <c r="B35" s="47" t="s">
        <v>829</v>
      </c>
      <c r="C35" s="47" t="s">
        <v>838</v>
      </c>
      <c r="D35" s="68" t="s">
        <v>839</v>
      </c>
      <c r="E35" s="48" t="s">
        <v>319</v>
      </c>
      <c r="F35" s="69">
        <f>IFERROR(ROUND(G35*VLOOKUP(E35,$M$2:$N$8,2,FALSE())/100,1),0)</f>
        <v>0</v>
      </c>
      <c r="G35" s="48">
        <v>8</v>
      </c>
      <c r="H35" s="47"/>
      <c r="I35" s="47"/>
      <c r="J35" s="70" t="s">
        <v>840</v>
      </c>
      <c r="K35" s="47"/>
      <c r="O35" s="55">
        <f>IF(E35="Not Applicable",0,G35)</f>
        <v>8</v>
      </c>
    </row>
    <row r="36" spans="1:15" ht="72" customHeight="1" x14ac:dyDescent="0.45">
      <c r="A36" s="67" t="s">
        <v>841</v>
      </c>
      <c r="B36" s="47" t="s">
        <v>829</v>
      </c>
      <c r="C36" s="47" t="s">
        <v>842</v>
      </c>
      <c r="D36" s="68" t="s">
        <v>843</v>
      </c>
      <c r="E36" s="48" t="s">
        <v>319</v>
      </c>
      <c r="F36" s="69">
        <f>IFERROR(ROUND(G36*VLOOKUP(E36,$M$2:$N$8,2,FALSE())/100,1),0)</f>
        <v>0</v>
      </c>
      <c r="G36" s="48">
        <v>8</v>
      </c>
      <c r="H36" s="47"/>
      <c r="I36" s="47"/>
      <c r="J36" s="70" t="s">
        <v>844</v>
      </c>
      <c r="K36" s="47"/>
      <c r="O36" s="55">
        <f>IF(E36="Not Applicable",0,G36)</f>
        <v>8</v>
      </c>
    </row>
    <row r="37" spans="1:15" ht="15.75" customHeight="1" x14ac:dyDescent="0.45">
      <c r="A37" s="120" t="s">
        <v>845</v>
      </c>
      <c r="B37" s="86"/>
      <c r="C37" s="86"/>
      <c r="D37" s="86"/>
      <c r="E37" s="86"/>
      <c r="F37" s="86"/>
      <c r="G37" s="86"/>
      <c r="H37" s="86"/>
      <c r="I37" s="86"/>
      <c r="J37" s="86"/>
      <c r="K37" s="86"/>
    </row>
    <row r="38" spans="1:15" ht="84" customHeight="1" x14ac:dyDescent="0.45">
      <c r="A38" s="67" t="s">
        <v>846</v>
      </c>
      <c r="B38" s="47" t="s">
        <v>847</v>
      </c>
      <c r="C38" s="47" t="s">
        <v>848</v>
      </c>
      <c r="D38" s="68" t="s">
        <v>849</v>
      </c>
      <c r="E38" s="48" t="s">
        <v>319</v>
      </c>
      <c r="F38" s="69">
        <f>IFERROR(ROUND(G38*VLOOKUP(E38,$M$2:$N$8,2,FALSE())/100,1),0)</f>
        <v>0</v>
      </c>
      <c r="G38" s="48">
        <v>6</v>
      </c>
      <c r="H38" s="47"/>
      <c r="I38" s="47"/>
      <c r="J38" s="70" t="s">
        <v>850</v>
      </c>
      <c r="K38" s="47"/>
      <c r="O38" s="55">
        <f>IF(E38="Not Applicable",0,G38)</f>
        <v>6</v>
      </c>
    </row>
    <row r="39" spans="1:15" ht="168" customHeight="1" x14ac:dyDescent="0.45">
      <c r="A39" s="67" t="s">
        <v>851</v>
      </c>
      <c r="B39" s="47" t="s">
        <v>847</v>
      </c>
      <c r="C39" s="47" t="s">
        <v>852</v>
      </c>
      <c r="D39" s="68" t="s">
        <v>853</v>
      </c>
      <c r="E39" s="48" t="s">
        <v>319</v>
      </c>
      <c r="F39" s="69">
        <f>IFERROR(ROUND(G39*VLOOKUP(E39,$M$2:$N$8,2,FALSE())/100,1),0)</f>
        <v>0</v>
      </c>
      <c r="G39" s="48">
        <v>8</v>
      </c>
      <c r="H39" s="47"/>
      <c r="I39" s="47"/>
      <c r="J39" s="70" t="s">
        <v>854</v>
      </c>
      <c r="K39" s="47"/>
      <c r="O39" s="55">
        <f>IF(E39="Not Applicable",0,G39)</f>
        <v>8</v>
      </c>
    </row>
    <row r="40" spans="1:15" ht="72" customHeight="1" x14ac:dyDescent="0.45">
      <c r="A40" s="67" t="s">
        <v>855</v>
      </c>
      <c r="B40" s="47" t="s">
        <v>847</v>
      </c>
      <c r="C40" s="47" t="s">
        <v>856</v>
      </c>
      <c r="D40" s="68" t="s">
        <v>857</v>
      </c>
      <c r="E40" s="48" t="s">
        <v>319</v>
      </c>
      <c r="F40" s="69">
        <f>IFERROR(ROUND(G40*VLOOKUP(E40,$M$2:$N$8,2,FALSE())/100,1),0)</f>
        <v>0</v>
      </c>
      <c r="G40" s="48">
        <v>6</v>
      </c>
      <c r="H40" s="47"/>
      <c r="I40" s="47"/>
      <c r="J40" s="70" t="s">
        <v>858</v>
      </c>
      <c r="K40" s="47"/>
      <c r="O40" s="55">
        <f>IF(E40="Not Applicable",0,G40)</f>
        <v>6</v>
      </c>
    </row>
  </sheetData>
  <mergeCells count="11">
    <mergeCell ref="A2:K2"/>
    <mergeCell ref="A32:K32"/>
    <mergeCell ref="A1:K1"/>
    <mergeCell ref="B4:C4"/>
    <mergeCell ref="A6:K6"/>
    <mergeCell ref="E4:F4"/>
    <mergeCell ref="H4:K4"/>
    <mergeCell ref="A18:K18"/>
    <mergeCell ref="A37:K37"/>
    <mergeCell ref="A26:K26"/>
    <mergeCell ref="G15:H15"/>
  </mergeCells>
  <conditionalFormatting sqref="E18:E40">
    <cfRule type="cellIs" dxfId="155" priority="2" operator="equal">
      <formula>"Best Practice"</formula>
    </cfRule>
    <cfRule type="cellIs" dxfId="154" priority="3" operator="equal">
      <formula>"Verified"</formula>
    </cfRule>
    <cfRule type="cellIs" dxfId="153" priority="4" operator="equal">
      <formula>"Low"</formula>
    </cfRule>
    <cfRule type="cellIs" dxfId="152" priority="5" operator="equal">
      <formula>"Moderate"</formula>
    </cfRule>
    <cfRule type="cellIs" dxfId="151" priority="6" operator="equal">
      <formula>"High"</formula>
    </cfRule>
    <cfRule type="cellIs" dxfId="150" priority="7" operator="equal">
      <formula>"Very High"</formula>
    </cfRule>
    <cfRule type="cellIs" dxfId="149" priority="8" operator="equal">
      <formula>"Not Applicable"</formula>
    </cfRule>
  </conditionalFormatting>
  <conditionalFormatting sqref="G15:H15">
    <cfRule type="cellIs" dxfId="148" priority="9" operator="equal">
      <formula>"Excellence Leader"</formula>
    </cfRule>
    <cfRule type="cellIs" dxfId="147" priority="10" operator="equal">
      <formula>"Gold"</formula>
    </cfRule>
    <cfRule type="cellIs" dxfId="146" priority="11" operator="equal">
      <formula>"Silver"</formula>
    </cfRule>
    <cfRule type="cellIs" dxfId="145" priority="12" operator="equal">
      <formula>"Bronze"</formula>
    </cfRule>
    <cfRule type="cellIs" dxfId="144" priority="13" operator="equal">
      <formula>"Developing"</formula>
    </cfRule>
  </conditionalFormatting>
  <dataValidations count="1">
    <dataValidation type="list" sqref="E19:E25 E27:E31 E33:E36 E38:E40" xr:uid="{00000000-0002-0000-09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40"/>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859</v>
      </c>
      <c r="B1" s="86"/>
      <c r="C1" s="86"/>
      <c r="D1" s="86"/>
      <c r="E1" s="86"/>
      <c r="F1" s="86"/>
      <c r="G1" s="86"/>
      <c r="H1" s="86"/>
      <c r="I1" s="86"/>
      <c r="J1" s="86"/>
      <c r="K1" s="86"/>
      <c r="M1" s="54" t="s">
        <v>90</v>
      </c>
      <c r="N1" s="54" t="s">
        <v>185</v>
      </c>
    </row>
    <row r="2" spans="1:14" ht="15.75" customHeight="1" x14ac:dyDescent="0.45">
      <c r="A2" s="122" t="s">
        <v>860</v>
      </c>
      <c r="B2" s="86"/>
      <c r="C2" s="86"/>
      <c r="D2" s="86"/>
      <c r="E2" s="86"/>
      <c r="F2" s="86"/>
      <c r="G2" s="86"/>
      <c r="H2" s="86"/>
      <c r="I2" s="86"/>
      <c r="J2" s="86"/>
      <c r="K2" s="86"/>
      <c r="M2" s="55" t="s">
        <v>93</v>
      </c>
      <c r="N2" s="55">
        <v>100</v>
      </c>
    </row>
    <row r="3" spans="1:14" ht="1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SUM(F18:F40)</f>
        <v>0</v>
      </c>
      <c r="C8" s="60">
        <f>SUM(O18:O40)</f>
        <v>124</v>
      </c>
      <c r="D8" s="61">
        <f>IF(C8&lt;&gt;0,B8/C8,"N/A")</f>
        <v>0</v>
      </c>
      <c r="F8" s="47" t="s">
        <v>93</v>
      </c>
      <c r="G8" s="62">
        <f>COUNTIF(E18:E40,"Best Practice")</f>
        <v>0</v>
      </c>
      <c r="M8" s="55" t="s">
        <v>191</v>
      </c>
      <c r="N8" s="55">
        <v>0</v>
      </c>
    </row>
    <row r="9" spans="1:14" ht="15" customHeight="1" x14ac:dyDescent="0.45">
      <c r="F9" s="47" t="s">
        <v>94</v>
      </c>
      <c r="G9" s="62">
        <f>COUNTIF(E18:E40,"Verified")</f>
        <v>0</v>
      </c>
    </row>
    <row r="10" spans="1:14" ht="15" customHeight="1" x14ac:dyDescent="0.45">
      <c r="F10" s="47" t="s">
        <v>96</v>
      </c>
      <c r="G10" s="62">
        <f>COUNTIF(E18:E40,"Low")</f>
        <v>0</v>
      </c>
    </row>
    <row r="11" spans="1:14" ht="15" customHeight="1" x14ac:dyDescent="0.45">
      <c r="F11" s="47" t="s">
        <v>97</v>
      </c>
      <c r="G11" s="62">
        <f>COUNTIF(E18:E40,"Moderate")</f>
        <v>0</v>
      </c>
    </row>
    <row r="12" spans="1:14" ht="15" customHeight="1" x14ac:dyDescent="0.45">
      <c r="F12" s="47" t="s">
        <v>98</v>
      </c>
      <c r="G12" s="62">
        <f>COUNTIF(E18:E40,"High")</f>
        <v>0</v>
      </c>
    </row>
    <row r="13" spans="1:14" ht="15" customHeight="1" x14ac:dyDescent="0.45">
      <c r="F13" s="47" t="s">
        <v>99</v>
      </c>
      <c r="G13" s="62">
        <f>COUNTIF(E18:E40,"Very High")</f>
        <v>0</v>
      </c>
    </row>
    <row r="14" spans="1:14" ht="21.75" customHeight="1" x14ac:dyDescent="0.45">
      <c r="F14" s="47" t="s">
        <v>191</v>
      </c>
      <c r="G14" s="62">
        <f>COUNTIF(E18:E40,"Not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861</v>
      </c>
      <c r="B18" s="86"/>
      <c r="C18" s="86"/>
      <c r="D18" s="86"/>
      <c r="E18" s="86"/>
      <c r="F18" s="86"/>
      <c r="G18" s="86"/>
      <c r="H18" s="86"/>
      <c r="I18" s="86"/>
      <c r="J18" s="86"/>
      <c r="K18" s="86"/>
    </row>
    <row r="19" spans="1:15" ht="84" customHeight="1" x14ac:dyDescent="0.45">
      <c r="A19" s="67" t="s">
        <v>862</v>
      </c>
      <c r="B19" s="47" t="s">
        <v>863</v>
      </c>
      <c r="C19" s="47" t="s">
        <v>864</v>
      </c>
      <c r="D19" s="68" t="s">
        <v>865</v>
      </c>
      <c r="E19" s="48" t="s">
        <v>319</v>
      </c>
      <c r="F19" s="69">
        <f>IFERROR(ROUND(G19*VLOOKUP(E19,$M$2:$N$8,2,FALSE())/100,1),0)</f>
        <v>0</v>
      </c>
      <c r="G19" s="48">
        <v>8</v>
      </c>
      <c r="H19" s="47"/>
      <c r="I19" s="47"/>
      <c r="J19" s="70" t="s">
        <v>866</v>
      </c>
      <c r="K19" s="47"/>
      <c r="O19" s="55">
        <f>IF(E19="Not Applicable",0,G19)</f>
        <v>8</v>
      </c>
    </row>
    <row r="20" spans="1:15" ht="84" customHeight="1" x14ac:dyDescent="0.45">
      <c r="A20" s="67" t="s">
        <v>867</v>
      </c>
      <c r="B20" s="47" t="s">
        <v>863</v>
      </c>
      <c r="C20" s="47" t="s">
        <v>868</v>
      </c>
      <c r="D20" s="68" t="s">
        <v>869</v>
      </c>
      <c r="E20" s="48" t="s">
        <v>319</v>
      </c>
      <c r="F20" s="69">
        <f>IFERROR(ROUND(G20*VLOOKUP(E20,$M$2:$N$8,2,FALSE())/100,1),0)</f>
        <v>0</v>
      </c>
      <c r="G20" s="48">
        <v>10</v>
      </c>
      <c r="H20" s="47"/>
      <c r="I20" s="47"/>
      <c r="J20" s="70" t="s">
        <v>870</v>
      </c>
      <c r="K20" s="47"/>
      <c r="O20" s="55">
        <f>IF(E20="Not Applicable",0,G20)</f>
        <v>10</v>
      </c>
    </row>
    <row r="21" spans="1:15" ht="84" customHeight="1" x14ac:dyDescent="0.45">
      <c r="A21" s="67" t="s">
        <v>871</v>
      </c>
      <c r="B21" s="47" t="s">
        <v>863</v>
      </c>
      <c r="C21" s="47" t="s">
        <v>872</v>
      </c>
      <c r="D21" s="68" t="s">
        <v>873</v>
      </c>
      <c r="E21" s="48" t="s">
        <v>319</v>
      </c>
      <c r="F21" s="69">
        <f>IFERROR(ROUND(G21*VLOOKUP(E21,$M$2:$N$8,2,FALSE())/100,1),0)</f>
        <v>0</v>
      </c>
      <c r="G21" s="48">
        <v>6</v>
      </c>
      <c r="H21" s="47"/>
      <c r="I21" s="47"/>
      <c r="J21" s="70" t="s">
        <v>874</v>
      </c>
      <c r="K21" s="47"/>
      <c r="O21" s="55">
        <f>IF(E21="Not Applicable",0,G21)</f>
        <v>6</v>
      </c>
    </row>
    <row r="22" spans="1:15" ht="96" customHeight="1" x14ac:dyDescent="0.45">
      <c r="A22" s="67" t="s">
        <v>875</v>
      </c>
      <c r="B22" s="47" t="s">
        <v>863</v>
      </c>
      <c r="C22" s="47" t="s">
        <v>876</v>
      </c>
      <c r="D22" s="68" t="s">
        <v>877</v>
      </c>
      <c r="E22" s="48" t="s">
        <v>319</v>
      </c>
      <c r="F22" s="69">
        <f>IFERROR(ROUND(G22*VLOOKUP(E22,$M$2:$N$8,2,FALSE())/100,1),0)</f>
        <v>0</v>
      </c>
      <c r="G22" s="48">
        <v>8</v>
      </c>
      <c r="H22" s="47"/>
      <c r="I22" s="47"/>
      <c r="J22" s="70" t="s">
        <v>878</v>
      </c>
      <c r="K22" s="47"/>
      <c r="O22" s="55">
        <f>IF(E22="Not Applicable",0,G22)</f>
        <v>8</v>
      </c>
    </row>
    <row r="23" spans="1:15" ht="15.75" customHeight="1" x14ac:dyDescent="0.45">
      <c r="A23" s="120" t="s">
        <v>879</v>
      </c>
      <c r="B23" s="86"/>
      <c r="C23" s="86"/>
      <c r="D23" s="86"/>
      <c r="E23" s="86"/>
      <c r="F23" s="86"/>
      <c r="G23" s="86"/>
      <c r="H23" s="86"/>
      <c r="I23" s="86"/>
      <c r="J23" s="86"/>
      <c r="K23" s="86"/>
    </row>
    <row r="24" spans="1:15" ht="84" customHeight="1" x14ac:dyDescent="0.45">
      <c r="A24" s="67" t="s">
        <v>880</v>
      </c>
      <c r="B24" s="47" t="s">
        <v>881</v>
      </c>
      <c r="C24" s="47" t="s">
        <v>882</v>
      </c>
      <c r="D24" s="68" t="s">
        <v>883</v>
      </c>
      <c r="E24" s="48" t="s">
        <v>319</v>
      </c>
      <c r="F24" s="69">
        <f>IFERROR(ROUND(G24*VLOOKUP(E24,$M$2:$N$8,2,FALSE())/100,1),0)</f>
        <v>0</v>
      </c>
      <c r="G24" s="48">
        <v>8</v>
      </c>
      <c r="H24" s="47"/>
      <c r="I24" s="47"/>
      <c r="J24" s="70" t="s">
        <v>884</v>
      </c>
      <c r="K24" s="47"/>
      <c r="O24" s="55">
        <f>IF(E24="Not Applicable",0,G24)</f>
        <v>8</v>
      </c>
    </row>
    <row r="25" spans="1:15" ht="84" customHeight="1" x14ac:dyDescent="0.45">
      <c r="A25" s="67" t="s">
        <v>885</v>
      </c>
      <c r="B25" s="47" t="s">
        <v>881</v>
      </c>
      <c r="C25" s="47" t="s">
        <v>886</v>
      </c>
      <c r="D25" s="68" t="s">
        <v>887</v>
      </c>
      <c r="E25" s="48" t="s">
        <v>319</v>
      </c>
      <c r="F25" s="69">
        <f>IFERROR(ROUND(G25*VLOOKUP(E25,$M$2:$N$8,2,FALSE())/100,1),0)</f>
        <v>0</v>
      </c>
      <c r="G25" s="48">
        <v>8</v>
      </c>
      <c r="H25" s="47"/>
      <c r="I25" s="47"/>
      <c r="J25" s="70" t="s">
        <v>888</v>
      </c>
      <c r="K25" s="47"/>
      <c r="O25" s="55">
        <f>IF(E25="Not Applicable",0,G25)</f>
        <v>8</v>
      </c>
    </row>
    <row r="26" spans="1:15" ht="60" customHeight="1" x14ac:dyDescent="0.45">
      <c r="A26" s="67" t="s">
        <v>889</v>
      </c>
      <c r="B26" s="47" t="s">
        <v>881</v>
      </c>
      <c r="C26" s="47" t="s">
        <v>890</v>
      </c>
      <c r="D26" s="68" t="s">
        <v>891</v>
      </c>
      <c r="E26" s="48" t="s">
        <v>319</v>
      </c>
      <c r="F26" s="69">
        <f>IFERROR(ROUND(G26*VLOOKUP(E26,$M$2:$N$8,2,FALSE())/100,1),0)</f>
        <v>0</v>
      </c>
      <c r="G26" s="48">
        <v>6</v>
      </c>
      <c r="H26" s="47"/>
      <c r="I26" s="47"/>
      <c r="J26" s="70" t="s">
        <v>892</v>
      </c>
      <c r="K26" s="47"/>
      <c r="O26" s="55">
        <f>IF(E26="Not Applicable",0,G26)</f>
        <v>6</v>
      </c>
    </row>
    <row r="27" spans="1:15" ht="72" customHeight="1" x14ac:dyDescent="0.45">
      <c r="A27" s="67" t="s">
        <v>893</v>
      </c>
      <c r="B27" s="47" t="s">
        <v>881</v>
      </c>
      <c r="C27" s="47" t="s">
        <v>894</v>
      </c>
      <c r="D27" s="68" t="s">
        <v>895</v>
      </c>
      <c r="E27" s="48" t="s">
        <v>319</v>
      </c>
      <c r="F27" s="69">
        <f>IFERROR(ROUND(G27*VLOOKUP(E27,$M$2:$N$8,2,FALSE())/100,1),0)</f>
        <v>0</v>
      </c>
      <c r="G27" s="48">
        <v>8</v>
      </c>
      <c r="H27" s="47"/>
      <c r="I27" s="47"/>
      <c r="J27" s="70" t="s">
        <v>896</v>
      </c>
      <c r="K27" s="47"/>
      <c r="O27" s="55">
        <f>IF(E27="Not Applicable",0,G27)</f>
        <v>8</v>
      </c>
    </row>
    <row r="28" spans="1:15" ht="15.75" customHeight="1" x14ac:dyDescent="0.45">
      <c r="A28" s="120" t="s">
        <v>897</v>
      </c>
      <c r="B28" s="86"/>
      <c r="C28" s="86"/>
      <c r="D28" s="86"/>
      <c r="E28" s="86"/>
      <c r="F28" s="86"/>
      <c r="G28" s="86"/>
      <c r="H28" s="86"/>
      <c r="I28" s="86"/>
      <c r="J28" s="86"/>
      <c r="K28" s="86"/>
    </row>
    <row r="29" spans="1:15" ht="60" customHeight="1" x14ac:dyDescent="0.45">
      <c r="A29" s="67" t="s">
        <v>898</v>
      </c>
      <c r="B29" s="47" t="s">
        <v>899</v>
      </c>
      <c r="C29" s="47" t="s">
        <v>900</v>
      </c>
      <c r="D29" s="68" t="s">
        <v>901</v>
      </c>
      <c r="E29" s="48" t="s">
        <v>319</v>
      </c>
      <c r="F29" s="69">
        <f>IFERROR(ROUND(G29*VLOOKUP(E29,$M$2:$N$8,2,FALSE())/100,1),0)</f>
        <v>0</v>
      </c>
      <c r="G29" s="48">
        <v>6</v>
      </c>
      <c r="H29" s="47"/>
      <c r="I29" s="47"/>
      <c r="J29" s="70" t="s">
        <v>902</v>
      </c>
      <c r="K29" s="47"/>
      <c r="O29" s="55">
        <f>IF(E29="Not Applicable",0,G29)</f>
        <v>6</v>
      </c>
    </row>
    <row r="30" spans="1:15" ht="84" customHeight="1" x14ac:dyDescent="0.45">
      <c r="A30" s="67" t="s">
        <v>903</v>
      </c>
      <c r="B30" s="47" t="s">
        <v>899</v>
      </c>
      <c r="C30" s="47" t="s">
        <v>904</v>
      </c>
      <c r="D30" s="68" t="s">
        <v>905</v>
      </c>
      <c r="E30" s="48" t="s">
        <v>319</v>
      </c>
      <c r="F30" s="69">
        <f>IFERROR(ROUND(G30*VLOOKUP(E30,$M$2:$N$8,2,FALSE())/100,1),0)</f>
        <v>0</v>
      </c>
      <c r="G30" s="48">
        <v>8</v>
      </c>
      <c r="H30" s="47"/>
      <c r="I30" s="47"/>
      <c r="J30" s="70" t="s">
        <v>906</v>
      </c>
      <c r="K30" s="47"/>
      <c r="O30" s="55">
        <f>IF(E30="Not Applicable",0,G30)</f>
        <v>8</v>
      </c>
    </row>
    <row r="31" spans="1:15" ht="96" customHeight="1" x14ac:dyDescent="0.45">
      <c r="A31" s="67" t="s">
        <v>907</v>
      </c>
      <c r="B31" s="47" t="s">
        <v>899</v>
      </c>
      <c r="C31" s="47" t="s">
        <v>908</v>
      </c>
      <c r="D31" s="68" t="s">
        <v>909</v>
      </c>
      <c r="E31" s="48" t="s">
        <v>319</v>
      </c>
      <c r="F31" s="69">
        <f>IFERROR(ROUND(G31*VLOOKUP(E31,$M$2:$N$8,2,FALSE())/100,1),0)</f>
        <v>0</v>
      </c>
      <c r="G31" s="48">
        <v>6</v>
      </c>
      <c r="H31" s="47"/>
      <c r="I31" s="47"/>
      <c r="J31" s="70" t="s">
        <v>910</v>
      </c>
      <c r="K31" s="47"/>
      <c r="O31" s="55">
        <f>IF(E31="Not Applicable",0,G31)</f>
        <v>6</v>
      </c>
    </row>
    <row r="32" spans="1:15" ht="15.75" customHeight="1" x14ac:dyDescent="0.45">
      <c r="A32" s="120" t="s">
        <v>911</v>
      </c>
      <c r="B32" s="86"/>
      <c r="C32" s="86"/>
      <c r="D32" s="86"/>
      <c r="E32" s="86"/>
      <c r="F32" s="86"/>
      <c r="G32" s="86"/>
      <c r="H32" s="86"/>
      <c r="I32" s="86"/>
      <c r="J32" s="86"/>
      <c r="K32" s="86"/>
    </row>
    <row r="33" spans="1:15" ht="84" customHeight="1" x14ac:dyDescent="0.45">
      <c r="A33" s="67" t="s">
        <v>912</v>
      </c>
      <c r="B33" s="47" t="s">
        <v>913</v>
      </c>
      <c r="C33" s="47" t="s">
        <v>914</v>
      </c>
      <c r="D33" s="68" t="s">
        <v>915</v>
      </c>
      <c r="E33" s="48" t="s">
        <v>319</v>
      </c>
      <c r="F33" s="69">
        <f>IFERROR(ROUND(G33*VLOOKUP(E33,$M$2:$N$8,2,FALSE())/100,1),0)</f>
        <v>0</v>
      </c>
      <c r="G33" s="48">
        <v>10</v>
      </c>
      <c r="H33" s="47"/>
      <c r="I33" s="47"/>
      <c r="J33" s="70" t="s">
        <v>916</v>
      </c>
      <c r="K33" s="47"/>
      <c r="O33" s="55">
        <f>IF(E33="Not Applicable",0,G33)</f>
        <v>10</v>
      </c>
    </row>
    <row r="34" spans="1:15" ht="72" customHeight="1" x14ac:dyDescent="0.45">
      <c r="A34" s="67" t="s">
        <v>917</v>
      </c>
      <c r="B34" s="47" t="s">
        <v>913</v>
      </c>
      <c r="C34" s="47" t="s">
        <v>918</v>
      </c>
      <c r="D34" s="68" t="s">
        <v>919</v>
      </c>
      <c r="E34" s="48" t="s">
        <v>319</v>
      </c>
      <c r="F34" s="69">
        <f>IFERROR(ROUND(G34*VLOOKUP(E34,$M$2:$N$8,2,FALSE())/100,1),0)</f>
        <v>0</v>
      </c>
      <c r="G34" s="48">
        <v>6</v>
      </c>
      <c r="H34" s="47"/>
      <c r="I34" s="47"/>
      <c r="J34" s="70" t="s">
        <v>920</v>
      </c>
      <c r="K34" s="47"/>
      <c r="O34" s="55">
        <f>IF(E34="Not Applicable",0,G34)</f>
        <v>6</v>
      </c>
    </row>
    <row r="35" spans="1:15" ht="84" customHeight="1" x14ac:dyDescent="0.45">
      <c r="A35" s="67" t="s">
        <v>921</v>
      </c>
      <c r="B35" s="47" t="s">
        <v>913</v>
      </c>
      <c r="C35" s="47" t="s">
        <v>922</v>
      </c>
      <c r="D35" s="68" t="s">
        <v>923</v>
      </c>
      <c r="E35" s="48" t="s">
        <v>319</v>
      </c>
      <c r="F35" s="69">
        <f>IFERROR(ROUND(G35*VLOOKUP(E35,$M$2:$N$8,2,FALSE())/100,1),0)</f>
        <v>0</v>
      </c>
      <c r="G35" s="48">
        <v>8</v>
      </c>
      <c r="H35" s="47"/>
      <c r="I35" s="47"/>
      <c r="J35" s="70" t="s">
        <v>924</v>
      </c>
      <c r="K35" s="47"/>
      <c r="O35" s="55">
        <f>IF(E35="Not Applicable",0,G35)</f>
        <v>8</v>
      </c>
    </row>
    <row r="36" spans="1:15" ht="72" customHeight="1" x14ac:dyDescent="0.45">
      <c r="A36" s="67" t="s">
        <v>925</v>
      </c>
      <c r="B36" s="47" t="s">
        <v>913</v>
      </c>
      <c r="C36" s="47" t="s">
        <v>926</v>
      </c>
      <c r="D36" s="68" t="s">
        <v>927</v>
      </c>
      <c r="E36" s="48" t="s">
        <v>319</v>
      </c>
      <c r="F36" s="69">
        <f>IFERROR(ROUND(G36*VLOOKUP(E36,$M$2:$N$8,2,FALSE())/100,1),0)</f>
        <v>0</v>
      </c>
      <c r="G36" s="48">
        <v>6</v>
      </c>
      <c r="H36" s="47"/>
      <c r="I36" s="47"/>
      <c r="J36" s="70" t="s">
        <v>928</v>
      </c>
      <c r="K36" s="47"/>
      <c r="O36" s="55">
        <f>IF(E36="Not Applicable",0,G36)</f>
        <v>6</v>
      </c>
    </row>
    <row r="37" spans="1:15" ht="15.75" customHeight="1" x14ac:dyDescent="0.45">
      <c r="A37" s="120" t="s">
        <v>929</v>
      </c>
      <c r="B37" s="86"/>
      <c r="C37" s="86"/>
      <c r="D37" s="86"/>
      <c r="E37" s="86"/>
      <c r="F37" s="86"/>
      <c r="G37" s="86"/>
      <c r="H37" s="86"/>
      <c r="I37" s="86"/>
      <c r="J37" s="86"/>
      <c r="K37" s="86"/>
    </row>
    <row r="38" spans="1:15" ht="84" customHeight="1" x14ac:dyDescent="0.45">
      <c r="A38" s="67" t="s">
        <v>930</v>
      </c>
      <c r="B38" s="47" t="s">
        <v>931</v>
      </c>
      <c r="C38" s="47" t="s">
        <v>932</v>
      </c>
      <c r="D38" s="68" t="s">
        <v>933</v>
      </c>
      <c r="E38" s="48" t="s">
        <v>319</v>
      </c>
      <c r="F38" s="69">
        <f>IFERROR(ROUND(G38*VLOOKUP(E38,$M$2:$N$8,2,FALSE())/100,1),0)</f>
        <v>0</v>
      </c>
      <c r="G38" s="48">
        <v>6</v>
      </c>
      <c r="H38" s="47"/>
      <c r="I38" s="47"/>
      <c r="J38" s="70" t="s">
        <v>934</v>
      </c>
      <c r="K38" s="47"/>
      <c r="O38" s="55">
        <f>IF(E38="Not Applicable",0,G38)</f>
        <v>6</v>
      </c>
    </row>
    <row r="39" spans="1:15" ht="15.75" customHeight="1" x14ac:dyDescent="0.45">
      <c r="A39" s="120" t="s">
        <v>935</v>
      </c>
      <c r="B39" s="86"/>
      <c r="C39" s="86"/>
      <c r="D39" s="86"/>
      <c r="E39" s="86"/>
      <c r="F39" s="86"/>
      <c r="G39" s="86"/>
      <c r="H39" s="86"/>
      <c r="I39" s="86"/>
      <c r="J39" s="86"/>
      <c r="K39" s="86"/>
    </row>
    <row r="40" spans="1:15" ht="96" customHeight="1" x14ac:dyDescent="0.45">
      <c r="A40" s="67" t="s">
        <v>936</v>
      </c>
      <c r="B40" s="47" t="s">
        <v>937</v>
      </c>
      <c r="C40" s="47" t="s">
        <v>938</v>
      </c>
      <c r="D40" s="68" t="s">
        <v>939</v>
      </c>
      <c r="E40" s="48" t="s">
        <v>319</v>
      </c>
      <c r="F40" s="69">
        <f>IFERROR(ROUND(G40*VLOOKUP(E40,$M$2:$N$8,2,FALSE())/100,1),0)</f>
        <v>0</v>
      </c>
      <c r="G40" s="48">
        <v>6</v>
      </c>
      <c r="H40" s="47"/>
      <c r="I40" s="47"/>
      <c r="J40" s="70" t="s">
        <v>940</v>
      </c>
      <c r="K40" s="47"/>
      <c r="O40" s="55">
        <f>IF(E40="Not Applicable",0,G40)</f>
        <v>6</v>
      </c>
    </row>
  </sheetData>
  <mergeCells count="13">
    <mergeCell ref="A1:K1"/>
    <mergeCell ref="A23:K23"/>
    <mergeCell ref="A39:K39"/>
    <mergeCell ref="G15:H15"/>
    <mergeCell ref="A2:K2"/>
    <mergeCell ref="A28:K28"/>
    <mergeCell ref="A32:K32"/>
    <mergeCell ref="A6:K6"/>
    <mergeCell ref="E4:F4"/>
    <mergeCell ref="H4:K4"/>
    <mergeCell ref="A18:K18"/>
    <mergeCell ref="A37:K37"/>
    <mergeCell ref="B4:C4"/>
  </mergeCells>
  <conditionalFormatting sqref="E18:E40">
    <cfRule type="cellIs" dxfId="143" priority="2" operator="equal">
      <formula>"Best Practice"</formula>
    </cfRule>
    <cfRule type="cellIs" dxfId="142" priority="3" operator="equal">
      <formula>"Verified"</formula>
    </cfRule>
    <cfRule type="cellIs" dxfId="141" priority="4" operator="equal">
      <formula>"Low"</formula>
    </cfRule>
    <cfRule type="cellIs" dxfId="140" priority="5" operator="equal">
      <formula>"Moderate"</formula>
    </cfRule>
    <cfRule type="cellIs" dxfId="139" priority="6" operator="equal">
      <formula>"High"</formula>
    </cfRule>
    <cfRule type="cellIs" dxfId="138" priority="7" operator="equal">
      <formula>"Very High"</formula>
    </cfRule>
    <cfRule type="cellIs" dxfId="137" priority="8" operator="equal">
      <formula>"Not Applicable"</formula>
    </cfRule>
  </conditionalFormatting>
  <conditionalFormatting sqref="G15:H15">
    <cfRule type="cellIs" dxfId="136" priority="9" operator="equal">
      <formula>"Excellence Leader"</formula>
    </cfRule>
    <cfRule type="cellIs" dxfId="135" priority="10" operator="equal">
      <formula>"Gold"</formula>
    </cfRule>
    <cfRule type="cellIs" dxfId="134" priority="11" operator="equal">
      <formula>"Silver"</formula>
    </cfRule>
    <cfRule type="cellIs" dxfId="133" priority="12" operator="equal">
      <formula>"Bronze"</formula>
    </cfRule>
    <cfRule type="cellIs" dxfId="132" priority="13" operator="equal">
      <formula>"Developing"</formula>
    </cfRule>
  </conditionalFormatting>
  <dataValidations count="1">
    <dataValidation type="list" sqref="E19:E22 E24:E27 E29:E31 E33:E36 E38 E40" xr:uid="{00000000-0002-0000-0A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32"/>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941</v>
      </c>
      <c r="B1" s="86"/>
      <c r="C1" s="86"/>
      <c r="D1" s="86"/>
      <c r="E1" s="86"/>
      <c r="F1" s="86"/>
      <c r="G1" s="86"/>
      <c r="H1" s="86"/>
      <c r="I1" s="86"/>
      <c r="J1" s="86"/>
      <c r="K1" s="86"/>
      <c r="M1" s="54" t="s">
        <v>90</v>
      </c>
      <c r="N1" s="54" t="s">
        <v>185</v>
      </c>
    </row>
    <row r="2" spans="1:14" ht="15.75" customHeight="1" x14ac:dyDescent="0.45">
      <c r="A2" s="122" t="s">
        <v>942</v>
      </c>
      <c r="B2" s="86"/>
      <c r="C2" s="86"/>
      <c r="D2" s="86"/>
      <c r="E2" s="86"/>
      <c r="F2" s="86"/>
      <c r="G2" s="86"/>
      <c r="H2" s="86"/>
      <c r="I2" s="86"/>
      <c r="J2" s="86"/>
      <c r="K2" s="86"/>
      <c r="M2" s="55" t="s">
        <v>93</v>
      </c>
      <c r="N2" s="55">
        <v>100</v>
      </c>
    </row>
    <row r="3" spans="1:14" ht="1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SUM(F18:F32)</f>
        <v>0</v>
      </c>
      <c r="C8" s="60">
        <f>SUM(O18:O32)</f>
        <v>91</v>
      </c>
      <c r="D8" s="61">
        <f>IF(C8&lt;&gt;0,B8/C8,"N/A")</f>
        <v>0</v>
      </c>
      <c r="F8" s="47" t="s">
        <v>93</v>
      </c>
      <c r="G8" s="62">
        <f>COUNTIF(E18:E32,"Best Practice")</f>
        <v>0</v>
      </c>
      <c r="M8" s="55" t="s">
        <v>191</v>
      </c>
      <c r="N8" s="55">
        <v>0</v>
      </c>
    </row>
    <row r="9" spans="1:14" ht="15" customHeight="1" x14ac:dyDescent="0.45">
      <c r="F9" s="47" t="s">
        <v>94</v>
      </c>
      <c r="G9" s="62">
        <f>COUNTIF(E18:E32,"Verified")</f>
        <v>0</v>
      </c>
    </row>
    <row r="10" spans="1:14" ht="15" customHeight="1" x14ac:dyDescent="0.45">
      <c r="F10" s="47" t="s">
        <v>96</v>
      </c>
      <c r="G10" s="62">
        <f>COUNTIF(E18:E32,"Low")</f>
        <v>0</v>
      </c>
    </row>
    <row r="11" spans="1:14" ht="15" customHeight="1" x14ac:dyDescent="0.45">
      <c r="F11" s="47" t="s">
        <v>97</v>
      </c>
      <c r="G11" s="62">
        <f>COUNTIF(E18:E32,"Moderate")</f>
        <v>0</v>
      </c>
    </row>
    <row r="12" spans="1:14" ht="15" customHeight="1" x14ac:dyDescent="0.45">
      <c r="F12" s="47" t="s">
        <v>98</v>
      </c>
      <c r="G12" s="62">
        <f>COUNTIF(E18:E32,"High")</f>
        <v>0</v>
      </c>
    </row>
    <row r="13" spans="1:14" ht="15" customHeight="1" x14ac:dyDescent="0.45">
      <c r="F13" s="47" t="s">
        <v>99</v>
      </c>
      <c r="G13" s="62">
        <f>COUNTIF(E18:E32,"Very High")</f>
        <v>0</v>
      </c>
    </row>
    <row r="14" spans="1:14" ht="21.75" customHeight="1" x14ac:dyDescent="0.45">
      <c r="F14" s="47" t="s">
        <v>191</v>
      </c>
      <c r="G14" s="62">
        <f>COUNTIF(E18:E32,"Not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943</v>
      </c>
      <c r="B18" s="86"/>
      <c r="C18" s="86"/>
      <c r="D18" s="86"/>
      <c r="E18" s="86"/>
      <c r="F18" s="86"/>
      <c r="G18" s="86"/>
      <c r="H18" s="86"/>
      <c r="I18" s="86"/>
      <c r="J18" s="86"/>
      <c r="K18" s="86"/>
    </row>
    <row r="19" spans="1:15" ht="96" customHeight="1" x14ac:dyDescent="0.45">
      <c r="A19" s="67" t="s">
        <v>944</v>
      </c>
      <c r="B19" s="47" t="s">
        <v>945</v>
      </c>
      <c r="C19" s="47" t="s">
        <v>946</v>
      </c>
      <c r="D19" s="68" t="s">
        <v>947</v>
      </c>
      <c r="E19" s="48" t="s">
        <v>319</v>
      </c>
      <c r="F19" s="69">
        <f t="shared" ref="F19:F24" si="0">IFERROR(ROUND(G19*VLOOKUP(E19,$M$2:$N$8,2,FALSE())/100,1),0)</f>
        <v>0</v>
      </c>
      <c r="G19" s="48">
        <v>10</v>
      </c>
      <c r="H19" s="47"/>
      <c r="I19" s="47"/>
      <c r="J19" s="70" t="s">
        <v>948</v>
      </c>
      <c r="K19" s="47"/>
      <c r="O19" s="55">
        <f t="shared" ref="O19:O24" si="1">IF(E19="Not Applicable",0,G19)</f>
        <v>10</v>
      </c>
    </row>
    <row r="20" spans="1:15" ht="84" customHeight="1" x14ac:dyDescent="0.45">
      <c r="A20" s="67" t="s">
        <v>949</v>
      </c>
      <c r="B20" s="47" t="s">
        <v>945</v>
      </c>
      <c r="C20" s="47" t="s">
        <v>950</v>
      </c>
      <c r="D20" s="68" t="s">
        <v>951</v>
      </c>
      <c r="E20" s="48" t="s">
        <v>319</v>
      </c>
      <c r="F20" s="69">
        <f t="shared" si="0"/>
        <v>0</v>
      </c>
      <c r="G20" s="48">
        <v>10</v>
      </c>
      <c r="H20" s="47"/>
      <c r="I20" s="47"/>
      <c r="J20" s="70" t="s">
        <v>952</v>
      </c>
      <c r="K20" s="47"/>
      <c r="O20" s="55">
        <f t="shared" si="1"/>
        <v>10</v>
      </c>
    </row>
    <row r="21" spans="1:15" ht="96" customHeight="1" x14ac:dyDescent="0.45">
      <c r="A21" s="67" t="s">
        <v>953</v>
      </c>
      <c r="B21" s="47" t="s">
        <v>945</v>
      </c>
      <c r="C21" s="47" t="s">
        <v>954</v>
      </c>
      <c r="D21" s="68" t="s">
        <v>955</v>
      </c>
      <c r="E21" s="48" t="s">
        <v>319</v>
      </c>
      <c r="F21" s="69">
        <f t="shared" si="0"/>
        <v>0</v>
      </c>
      <c r="G21" s="48">
        <v>6</v>
      </c>
      <c r="H21" s="47"/>
      <c r="I21" s="47"/>
      <c r="J21" s="70" t="s">
        <v>956</v>
      </c>
      <c r="K21" s="47"/>
      <c r="O21" s="55">
        <f t="shared" si="1"/>
        <v>6</v>
      </c>
    </row>
    <row r="22" spans="1:15" ht="72" customHeight="1" x14ac:dyDescent="0.45">
      <c r="A22" s="67" t="s">
        <v>957</v>
      </c>
      <c r="B22" s="47" t="s">
        <v>945</v>
      </c>
      <c r="C22" s="47" t="s">
        <v>958</v>
      </c>
      <c r="D22" s="68" t="s">
        <v>959</v>
      </c>
      <c r="E22" s="48" t="s">
        <v>319</v>
      </c>
      <c r="F22" s="69">
        <f t="shared" si="0"/>
        <v>0</v>
      </c>
      <c r="G22" s="48">
        <v>6</v>
      </c>
      <c r="H22" s="47"/>
      <c r="I22" s="47"/>
      <c r="J22" s="70" t="s">
        <v>960</v>
      </c>
      <c r="K22" s="47"/>
      <c r="O22" s="55">
        <f t="shared" si="1"/>
        <v>6</v>
      </c>
    </row>
    <row r="23" spans="1:15" ht="60" customHeight="1" x14ac:dyDescent="0.45">
      <c r="A23" s="67" t="s">
        <v>961</v>
      </c>
      <c r="B23" s="47" t="s">
        <v>945</v>
      </c>
      <c r="C23" s="47" t="s">
        <v>962</v>
      </c>
      <c r="D23" s="68" t="s">
        <v>963</v>
      </c>
      <c r="E23" s="48" t="s">
        <v>319</v>
      </c>
      <c r="F23" s="69">
        <f t="shared" si="0"/>
        <v>0</v>
      </c>
      <c r="G23" s="48">
        <v>6</v>
      </c>
      <c r="H23" s="47"/>
      <c r="I23" s="47"/>
      <c r="J23" s="70" t="s">
        <v>964</v>
      </c>
      <c r="K23" s="47"/>
      <c r="O23" s="55">
        <f t="shared" si="1"/>
        <v>6</v>
      </c>
    </row>
    <row r="24" spans="1:15" ht="72" customHeight="1" x14ac:dyDescent="0.45">
      <c r="A24" s="67" t="s">
        <v>965</v>
      </c>
      <c r="B24" s="47" t="s">
        <v>945</v>
      </c>
      <c r="C24" s="47" t="s">
        <v>966</v>
      </c>
      <c r="D24" s="68" t="s">
        <v>967</v>
      </c>
      <c r="E24" s="48" t="s">
        <v>319</v>
      </c>
      <c r="F24" s="69">
        <f t="shared" si="0"/>
        <v>0</v>
      </c>
      <c r="G24" s="48">
        <v>5</v>
      </c>
      <c r="H24" s="47"/>
      <c r="I24" s="47"/>
      <c r="J24" s="70" t="s">
        <v>968</v>
      </c>
      <c r="K24" s="47"/>
      <c r="O24" s="55">
        <f t="shared" si="1"/>
        <v>5</v>
      </c>
    </row>
    <row r="25" spans="1:15" ht="15.75" customHeight="1" x14ac:dyDescent="0.45">
      <c r="A25" s="120" t="s">
        <v>969</v>
      </c>
      <c r="B25" s="86"/>
      <c r="C25" s="86"/>
      <c r="D25" s="86"/>
      <c r="E25" s="86"/>
      <c r="F25" s="86"/>
      <c r="G25" s="86"/>
      <c r="H25" s="86"/>
      <c r="I25" s="86"/>
      <c r="J25" s="86"/>
      <c r="K25" s="86"/>
    </row>
    <row r="26" spans="1:15" ht="72" customHeight="1" x14ac:dyDescent="0.45">
      <c r="A26" s="67" t="s">
        <v>970</v>
      </c>
      <c r="B26" s="47" t="s">
        <v>971</v>
      </c>
      <c r="C26" s="47" t="s">
        <v>972</v>
      </c>
      <c r="D26" s="68" t="s">
        <v>973</v>
      </c>
      <c r="E26" s="48" t="s">
        <v>319</v>
      </c>
      <c r="F26" s="69">
        <f>IFERROR(ROUND(G26*VLOOKUP(E26,$M$2:$N$8,2,FALSE())/100,1),0)</f>
        <v>0</v>
      </c>
      <c r="G26" s="48">
        <v>8</v>
      </c>
      <c r="H26" s="47"/>
      <c r="I26" s="47"/>
      <c r="J26" s="70" t="s">
        <v>974</v>
      </c>
      <c r="K26" s="47"/>
      <c r="O26" s="55">
        <f>IF(E26="Not Applicable",0,G26)</f>
        <v>8</v>
      </c>
    </row>
    <row r="27" spans="1:15" ht="84" customHeight="1" x14ac:dyDescent="0.45">
      <c r="A27" s="67" t="s">
        <v>975</v>
      </c>
      <c r="B27" s="47" t="s">
        <v>971</v>
      </c>
      <c r="C27" s="47" t="s">
        <v>976</v>
      </c>
      <c r="D27" s="68" t="s">
        <v>977</v>
      </c>
      <c r="E27" s="48" t="s">
        <v>319</v>
      </c>
      <c r="F27" s="69">
        <f>IFERROR(ROUND(G27*VLOOKUP(E27,$M$2:$N$8,2,FALSE())/100,1),0)</f>
        <v>0</v>
      </c>
      <c r="G27" s="48">
        <v>8</v>
      </c>
      <c r="H27" s="47"/>
      <c r="I27" s="47"/>
      <c r="J27" s="70" t="s">
        <v>978</v>
      </c>
      <c r="K27" s="47"/>
      <c r="O27" s="55">
        <f>IF(E27="Not Applicable",0,G27)</f>
        <v>8</v>
      </c>
    </row>
    <row r="28" spans="1:15" ht="84" customHeight="1" x14ac:dyDescent="0.45">
      <c r="A28" s="67" t="s">
        <v>979</v>
      </c>
      <c r="B28" s="47" t="s">
        <v>971</v>
      </c>
      <c r="C28" s="47" t="s">
        <v>980</v>
      </c>
      <c r="D28" s="68" t="s">
        <v>981</v>
      </c>
      <c r="E28" s="48" t="s">
        <v>319</v>
      </c>
      <c r="F28" s="69">
        <f>IFERROR(ROUND(G28*VLOOKUP(E28,$M$2:$N$8,2,FALSE())/100,1),0)</f>
        <v>0</v>
      </c>
      <c r="G28" s="48">
        <v>8</v>
      </c>
      <c r="H28" s="47"/>
      <c r="I28" s="47"/>
      <c r="J28" s="70" t="s">
        <v>982</v>
      </c>
      <c r="K28" s="47"/>
      <c r="O28" s="55">
        <f>IF(E28="Not Applicable",0,G28)</f>
        <v>8</v>
      </c>
    </row>
    <row r="29" spans="1:15" ht="84" customHeight="1" x14ac:dyDescent="0.45">
      <c r="A29" s="67" t="s">
        <v>983</v>
      </c>
      <c r="B29" s="47" t="s">
        <v>971</v>
      </c>
      <c r="C29" s="47" t="s">
        <v>984</v>
      </c>
      <c r="D29" s="68" t="s">
        <v>985</v>
      </c>
      <c r="E29" s="48" t="s">
        <v>319</v>
      </c>
      <c r="F29" s="69">
        <f>IFERROR(ROUND(G29*VLOOKUP(E29,$M$2:$N$8,2,FALSE())/100,1),0)</f>
        <v>0</v>
      </c>
      <c r="G29" s="48">
        <v>6</v>
      </c>
      <c r="H29" s="47"/>
      <c r="I29" s="47"/>
      <c r="J29" s="70" t="s">
        <v>986</v>
      </c>
      <c r="K29" s="47"/>
      <c r="O29" s="55">
        <f>IF(E29="Not Applicable",0,G29)</f>
        <v>6</v>
      </c>
    </row>
    <row r="30" spans="1:15" ht="15.75" customHeight="1" x14ac:dyDescent="0.45">
      <c r="A30" s="120" t="s">
        <v>987</v>
      </c>
      <c r="B30" s="86"/>
      <c r="C30" s="86"/>
      <c r="D30" s="86"/>
      <c r="E30" s="86"/>
      <c r="F30" s="86"/>
      <c r="G30" s="86"/>
      <c r="H30" s="86"/>
      <c r="I30" s="86"/>
      <c r="J30" s="86"/>
      <c r="K30" s="86"/>
    </row>
    <row r="31" spans="1:15" ht="84" customHeight="1" x14ac:dyDescent="0.45">
      <c r="A31" s="67" t="s">
        <v>988</v>
      </c>
      <c r="B31" s="47" t="s">
        <v>989</v>
      </c>
      <c r="C31" s="47" t="s">
        <v>990</v>
      </c>
      <c r="D31" s="68" t="s">
        <v>991</v>
      </c>
      <c r="E31" s="48" t="s">
        <v>319</v>
      </c>
      <c r="F31" s="69">
        <f>IFERROR(ROUND(G31*VLOOKUP(E31,$M$2:$N$8,2,FALSE())/100,1),0)</f>
        <v>0</v>
      </c>
      <c r="G31" s="48">
        <v>10</v>
      </c>
      <c r="H31" s="47"/>
      <c r="I31" s="47"/>
      <c r="J31" s="70" t="s">
        <v>992</v>
      </c>
      <c r="K31" s="47"/>
      <c r="O31" s="55">
        <f>IF(E31="Not Applicable",0,G31)</f>
        <v>10</v>
      </c>
    </row>
    <row r="32" spans="1:15" ht="84" customHeight="1" x14ac:dyDescent="0.45">
      <c r="A32" s="67" t="s">
        <v>993</v>
      </c>
      <c r="B32" s="47" t="s">
        <v>989</v>
      </c>
      <c r="C32" s="47" t="s">
        <v>994</v>
      </c>
      <c r="D32" s="68" t="s">
        <v>995</v>
      </c>
      <c r="E32" s="48" t="s">
        <v>319</v>
      </c>
      <c r="F32" s="69">
        <f>IFERROR(ROUND(G32*VLOOKUP(E32,$M$2:$N$8,2,FALSE())/100,1),0)</f>
        <v>0</v>
      </c>
      <c r="G32" s="48">
        <v>8</v>
      </c>
      <c r="H32" s="47"/>
      <c r="I32" s="47"/>
      <c r="J32" s="70" t="s">
        <v>996</v>
      </c>
      <c r="K32" s="47"/>
      <c r="O32" s="55">
        <f>IF(E32="Not Applicable",0,G32)</f>
        <v>8</v>
      </c>
    </row>
  </sheetData>
  <mergeCells count="10">
    <mergeCell ref="A2:K2"/>
    <mergeCell ref="A1:K1"/>
    <mergeCell ref="B4:C4"/>
    <mergeCell ref="A6:K6"/>
    <mergeCell ref="E4:F4"/>
    <mergeCell ref="H4:K4"/>
    <mergeCell ref="A18:K18"/>
    <mergeCell ref="A30:K30"/>
    <mergeCell ref="G15:H15"/>
    <mergeCell ref="A25:K25"/>
  </mergeCells>
  <conditionalFormatting sqref="E18:E32">
    <cfRule type="cellIs" dxfId="131" priority="2" operator="equal">
      <formula>"Best Practice"</formula>
    </cfRule>
    <cfRule type="cellIs" dxfId="130" priority="3" operator="equal">
      <formula>"Verified"</formula>
    </cfRule>
    <cfRule type="cellIs" dxfId="129" priority="4" operator="equal">
      <formula>"Low"</formula>
    </cfRule>
    <cfRule type="cellIs" dxfId="128" priority="5" operator="equal">
      <formula>"Moderate"</formula>
    </cfRule>
    <cfRule type="cellIs" dxfId="127" priority="6" operator="equal">
      <formula>"High"</formula>
    </cfRule>
    <cfRule type="cellIs" dxfId="126" priority="7" operator="equal">
      <formula>"Very High"</formula>
    </cfRule>
    <cfRule type="cellIs" dxfId="125" priority="8" operator="equal">
      <formula>"Not Applicable"</formula>
    </cfRule>
  </conditionalFormatting>
  <conditionalFormatting sqref="G15:H15">
    <cfRule type="cellIs" dxfId="124" priority="9" operator="equal">
      <formula>"Excellence Leader"</formula>
    </cfRule>
    <cfRule type="cellIs" dxfId="123" priority="10" operator="equal">
      <formula>"Gold"</formula>
    </cfRule>
    <cfRule type="cellIs" dxfId="122" priority="11" operator="equal">
      <formula>"Silver"</formula>
    </cfRule>
    <cfRule type="cellIs" dxfId="121" priority="12" operator="equal">
      <formula>"Bronze"</formula>
    </cfRule>
    <cfRule type="cellIs" dxfId="120" priority="13" operator="equal">
      <formula>"Developing"</formula>
    </cfRule>
  </conditionalFormatting>
  <dataValidations count="1">
    <dataValidation type="list" sqref="E19:E24 E26:E29 E31:E32" xr:uid="{00000000-0002-0000-0B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38"/>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997</v>
      </c>
      <c r="B1" s="86"/>
      <c r="C1" s="86"/>
      <c r="D1" s="86"/>
      <c r="E1" s="86"/>
      <c r="F1" s="86"/>
      <c r="G1" s="86"/>
      <c r="H1" s="86"/>
      <c r="I1" s="86"/>
      <c r="J1" s="86"/>
      <c r="K1" s="86"/>
      <c r="M1" s="54" t="s">
        <v>90</v>
      </c>
      <c r="N1" s="54" t="s">
        <v>185</v>
      </c>
    </row>
    <row r="2" spans="1:14" ht="15.75" customHeight="1" x14ac:dyDescent="0.45">
      <c r="A2" s="122" t="s">
        <v>998</v>
      </c>
      <c r="B2" s="86"/>
      <c r="C2" s="86"/>
      <c r="D2" s="86"/>
      <c r="E2" s="86"/>
      <c r="F2" s="86"/>
      <c r="G2" s="86"/>
      <c r="H2" s="86"/>
      <c r="I2" s="86"/>
      <c r="J2" s="86"/>
      <c r="K2" s="86"/>
      <c r="M2" s="55" t="s">
        <v>93</v>
      </c>
      <c r="N2" s="55">
        <v>100</v>
      </c>
    </row>
    <row r="3" spans="1:14" ht="1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SUM(F18:F38)</f>
        <v>0</v>
      </c>
      <c r="C8" s="60">
        <f>SUM(O18:O38)</f>
        <v>134</v>
      </c>
      <c r="D8" s="61">
        <f>IF(C8&lt;&gt;0,B8/C8,"N/A")</f>
        <v>0</v>
      </c>
      <c r="F8" s="47" t="s">
        <v>93</v>
      </c>
      <c r="G8" s="62">
        <f>COUNTIF(E18:E38,"Best Practice")</f>
        <v>0</v>
      </c>
      <c r="M8" s="55" t="s">
        <v>191</v>
      </c>
      <c r="N8" s="55">
        <v>0</v>
      </c>
    </row>
    <row r="9" spans="1:14" ht="15" customHeight="1" x14ac:dyDescent="0.45">
      <c r="F9" s="47" t="s">
        <v>94</v>
      </c>
      <c r="G9" s="62">
        <f>COUNTIF(E18:E38,"Verified")</f>
        <v>0</v>
      </c>
    </row>
    <row r="10" spans="1:14" ht="15" customHeight="1" x14ac:dyDescent="0.45">
      <c r="F10" s="47" t="s">
        <v>96</v>
      </c>
      <c r="G10" s="62">
        <f>COUNTIF(E18:E38,"Low")</f>
        <v>0</v>
      </c>
    </row>
    <row r="11" spans="1:14" ht="15" customHeight="1" x14ac:dyDescent="0.45">
      <c r="F11" s="47" t="s">
        <v>97</v>
      </c>
      <c r="G11" s="62">
        <f>COUNTIF(E18:E38,"Moderate")</f>
        <v>0</v>
      </c>
    </row>
    <row r="12" spans="1:14" ht="15" customHeight="1" x14ac:dyDescent="0.45">
      <c r="F12" s="47" t="s">
        <v>98</v>
      </c>
      <c r="G12" s="62">
        <f>COUNTIF(E18:E38,"High")</f>
        <v>0</v>
      </c>
    </row>
    <row r="13" spans="1:14" ht="15" customHeight="1" x14ac:dyDescent="0.45">
      <c r="F13" s="47" t="s">
        <v>99</v>
      </c>
      <c r="G13" s="62">
        <f>COUNTIF(E18:E38,"Very High")</f>
        <v>0</v>
      </c>
    </row>
    <row r="14" spans="1:14" ht="21.75" customHeight="1" x14ac:dyDescent="0.45">
      <c r="F14" s="47" t="s">
        <v>191</v>
      </c>
      <c r="G14" s="62">
        <f>COUNTIF(E18:E38,"Not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999</v>
      </c>
      <c r="B18" s="86"/>
      <c r="C18" s="86"/>
      <c r="D18" s="86"/>
      <c r="E18" s="86"/>
      <c r="F18" s="86"/>
      <c r="G18" s="86"/>
      <c r="H18" s="86"/>
      <c r="I18" s="86"/>
      <c r="J18" s="86"/>
      <c r="K18" s="86"/>
    </row>
    <row r="19" spans="1:15" ht="84" customHeight="1" x14ac:dyDescent="0.45">
      <c r="A19" s="67" t="s">
        <v>1000</v>
      </c>
      <c r="B19" s="47" t="s">
        <v>1001</v>
      </c>
      <c r="C19" s="47" t="s">
        <v>1002</v>
      </c>
      <c r="D19" s="68" t="s">
        <v>1003</v>
      </c>
      <c r="E19" s="48" t="s">
        <v>319</v>
      </c>
      <c r="F19" s="69">
        <f>IFERROR(ROUND(G19*VLOOKUP(E19,$M$2:$N$8,2,FALSE())/100,1),0)</f>
        <v>0</v>
      </c>
      <c r="G19" s="48">
        <v>6</v>
      </c>
      <c r="H19" s="47"/>
      <c r="I19" s="47"/>
      <c r="J19" s="70" t="s">
        <v>1004</v>
      </c>
      <c r="K19" s="47"/>
      <c r="O19" s="55">
        <f>IF(E19="Not Applicable",0,G19)</f>
        <v>6</v>
      </c>
    </row>
    <row r="20" spans="1:15" ht="96" customHeight="1" x14ac:dyDescent="0.45">
      <c r="A20" s="67" t="s">
        <v>1005</v>
      </c>
      <c r="B20" s="47" t="s">
        <v>1001</v>
      </c>
      <c r="C20" s="47" t="s">
        <v>1006</v>
      </c>
      <c r="D20" s="68" t="s">
        <v>1007</v>
      </c>
      <c r="E20" s="48" t="s">
        <v>319</v>
      </c>
      <c r="F20" s="69">
        <f>IFERROR(ROUND(G20*VLOOKUP(E20,$M$2:$N$8,2,FALSE())/100,1),0)</f>
        <v>0</v>
      </c>
      <c r="G20" s="48">
        <v>10</v>
      </c>
      <c r="H20" s="47"/>
      <c r="I20" s="47"/>
      <c r="J20" s="70" t="s">
        <v>1008</v>
      </c>
      <c r="K20" s="47"/>
      <c r="O20" s="55">
        <f>IF(E20="Not Applicable",0,G20)</f>
        <v>10</v>
      </c>
    </row>
    <row r="21" spans="1:15" ht="96" customHeight="1" x14ac:dyDescent="0.45">
      <c r="A21" s="67" t="s">
        <v>1009</v>
      </c>
      <c r="B21" s="47" t="s">
        <v>1001</v>
      </c>
      <c r="C21" s="47" t="s">
        <v>1010</v>
      </c>
      <c r="D21" s="68" t="s">
        <v>1011</v>
      </c>
      <c r="E21" s="48" t="s">
        <v>319</v>
      </c>
      <c r="F21" s="69">
        <f>IFERROR(ROUND(G21*VLOOKUP(E21,$M$2:$N$8,2,FALSE())/100,1),0)</f>
        <v>0</v>
      </c>
      <c r="G21" s="48">
        <v>10</v>
      </c>
      <c r="H21" s="47"/>
      <c r="I21" s="47"/>
      <c r="J21" s="70" t="s">
        <v>1012</v>
      </c>
      <c r="K21" s="47"/>
      <c r="O21" s="55">
        <f>IF(E21="Not Applicable",0,G21)</f>
        <v>10</v>
      </c>
    </row>
    <row r="22" spans="1:15" ht="84" customHeight="1" x14ac:dyDescent="0.45">
      <c r="A22" s="67" t="s">
        <v>1013</v>
      </c>
      <c r="B22" s="47" t="s">
        <v>1001</v>
      </c>
      <c r="C22" s="47" t="s">
        <v>1014</v>
      </c>
      <c r="D22" s="68" t="s">
        <v>1015</v>
      </c>
      <c r="E22" s="48" t="s">
        <v>319</v>
      </c>
      <c r="F22" s="69">
        <f>IFERROR(ROUND(G22*VLOOKUP(E22,$M$2:$N$8,2,FALSE())/100,1),0)</f>
        <v>0</v>
      </c>
      <c r="G22" s="48">
        <v>8</v>
      </c>
      <c r="H22" s="47"/>
      <c r="I22" s="47"/>
      <c r="J22" s="70" t="s">
        <v>1016</v>
      </c>
      <c r="K22" s="47"/>
      <c r="O22" s="55">
        <f>IF(E22="Not Applicable",0,G22)</f>
        <v>8</v>
      </c>
    </row>
    <row r="23" spans="1:15" ht="15.75" customHeight="1" x14ac:dyDescent="0.45">
      <c r="A23" s="120" t="s">
        <v>1017</v>
      </c>
      <c r="B23" s="86"/>
      <c r="C23" s="86"/>
      <c r="D23" s="86"/>
      <c r="E23" s="86"/>
      <c r="F23" s="86"/>
      <c r="G23" s="86"/>
      <c r="H23" s="86"/>
      <c r="I23" s="86"/>
      <c r="J23" s="86"/>
      <c r="K23" s="86"/>
    </row>
    <row r="24" spans="1:15" ht="108" customHeight="1" x14ac:dyDescent="0.45">
      <c r="A24" s="67" t="s">
        <v>1018</v>
      </c>
      <c r="B24" s="47" t="s">
        <v>1019</v>
      </c>
      <c r="C24" s="47" t="s">
        <v>1020</v>
      </c>
      <c r="D24" s="68" t="s">
        <v>1021</v>
      </c>
      <c r="E24" s="48" t="s">
        <v>319</v>
      </c>
      <c r="F24" s="69">
        <f>IFERROR(ROUND(G24*VLOOKUP(E24,$M$2:$N$8,2,FALSE())/100,1),0)</f>
        <v>0</v>
      </c>
      <c r="G24" s="48">
        <v>10</v>
      </c>
      <c r="H24" s="47"/>
      <c r="I24" s="47"/>
      <c r="J24" s="70" t="s">
        <v>1022</v>
      </c>
      <c r="K24" s="47"/>
      <c r="O24" s="55">
        <f>IF(E24="Not Applicable",0,G24)</f>
        <v>10</v>
      </c>
    </row>
    <row r="25" spans="1:15" ht="108" customHeight="1" x14ac:dyDescent="0.45">
      <c r="A25" s="67" t="s">
        <v>1023</v>
      </c>
      <c r="B25" s="47" t="s">
        <v>1019</v>
      </c>
      <c r="C25" s="47" t="s">
        <v>1024</v>
      </c>
      <c r="D25" s="68" t="s">
        <v>1025</v>
      </c>
      <c r="E25" s="48" t="s">
        <v>319</v>
      </c>
      <c r="F25" s="69">
        <f>IFERROR(ROUND(G25*VLOOKUP(E25,$M$2:$N$8,2,FALSE())/100,1),0)</f>
        <v>0</v>
      </c>
      <c r="G25" s="48">
        <v>8</v>
      </c>
      <c r="H25" s="47"/>
      <c r="I25" s="47"/>
      <c r="J25" s="70" t="s">
        <v>1026</v>
      </c>
      <c r="K25" s="47"/>
      <c r="O25" s="55">
        <f>IF(E25="Not Applicable",0,G25)</f>
        <v>8</v>
      </c>
    </row>
    <row r="26" spans="1:15" ht="96" customHeight="1" x14ac:dyDescent="0.45">
      <c r="A26" s="67" t="s">
        <v>1027</v>
      </c>
      <c r="B26" s="47" t="s">
        <v>1019</v>
      </c>
      <c r="C26" s="47" t="s">
        <v>1028</v>
      </c>
      <c r="D26" s="68" t="s">
        <v>1029</v>
      </c>
      <c r="E26" s="48" t="s">
        <v>319</v>
      </c>
      <c r="F26" s="69">
        <f>IFERROR(ROUND(G26*VLOOKUP(E26,$M$2:$N$8,2,FALSE())/100,1),0)</f>
        <v>0</v>
      </c>
      <c r="G26" s="48">
        <v>10</v>
      </c>
      <c r="H26" s="47"/>
      <c r="I26" s="47"/>
      <c r="J26" s="70" t="s">
        <v>1030</v>
      </c>
      <c r="K26" s="47"/>
      <c r="O26" s="55">
        <f>IF(E26="Not Applicable",0,G26)</f>
        <v>10</v>
      </c>
    </row>
    <row r="27" spans="1:15" ht="84" customHeight="1" x14ac:dyDescent="0.45">
      <c r="A27" s="67" t="s">
        <v>1031</v>
      </c>
      <c r="B27" s="47" t="s">
        <v>1019</v>
      </c>
      <c r="C27" s="47" t="s">
        <v>1032</v>
      </c>
      <c r="D27" s="68" t="s">
        <v>1033</v>
      </c>
      <c r="E27" s="48" t="s">
        <v>319</v>
      </c>
      <c r="F27" s="69">
        <f>IFERROR(ROUND(G27*VLOOKUP(E27,$M$2:$N$8,2,FALSE())/100,1),0)</f>
        <v>0</v>
      </c>
      <c r="G27" s="48">
        <v>8</v>
      </c>
      <c r="H27" s="47"/>
      <c r="I27" s="47"/>
      <c r="J27" s="70" t="s">
        <v>1034</v>
      </c>
      <c r="K27" s="47"/>
      <c r="O27" s="55">
        <f>IF(E27="Not Applicable",0,G27)</f>
        <v>8</v>
      </c>
    </row>
    <row r="28" spans="1:15" ht="15.75" customHeight="1" x14ac:dyDescent="0.45">
      <c r="A28" s="120" t="s">
        <v>1035</v>
      </c>
      <c r="B28" s="86"/>
      <c r="C28" s="86"/>
      <c r="D28" s="86"/>
      <c r="E28" s="86"/>
      <c r="F28" s="86"/>
      <c r="G28" s="86"/>
      <c r="H28" s="86"/>
      <c r="I28" s="86"/>
      <c r="J28" s="86"/>
      <c r="K28" s="86"/>
    </row>
    <row r="29" spans="1:15" ht="84" customHeight="1" x14ac:dyDescent="0.45">
      <c r="A29" s="67" t="s">
        <v>1036</v>
      </c>
      <c r="B29" s="47" t="s">
        <v>1037</v>
      </c>
      <c r="C29" s="47" t="s">
        <v>1038</v>
      </c>
      <c r="D29" s="68" t="s">
        <v>1039</v>
      </c>
      <c r="E29" s="48" t="s">
        <v>319</v>
      </c>
      <c r="F29" s="69">
        <f>IFERROR(ROUND(G29*VLOOKUP(E29,$M$2:$N$8,2,FALSE())/100,1),0)</f>
        <v>0</v>
      </c>
      <c r="G29" s="48">
        <v>8</v>
      </c>
      <c r="H29" s="47"/>
      <c r="I29" s="47"/>
      <c r="J29" s="70" t="s">
        <v>1040</v>
      </c>
      <c r="K29" s="47"/>
      <c r="O29" s="55">
        <f>IF(E29="Not Applicable",0,G29)</f>
        <v>8</v>
      </c>
    </row>
    <row r="30" spans="1:15" ht="84" customHeight="1" x14ac:dyDescent="0.45">
      <c r="A30" s="67" t="s">
        <v>1041</v>
      </c>
      <c r="B30" s="47" t="s">
        <v>1037</v>
      </c>
      <c r="C30" s="47" t="s">
        <v>1042</v>
      </c>
      <c r="D30" s="68" t="s">
        <v>1043</v>
      </c>
      <c r="E30" s="48" t="s">
        <v>319</v>
      </c>
      <c r="F30" s="69">
        <f>IFERROR(ROUND(G30*VLOOKUP(E30,$M$2:$N$8,2,FALSE())/100,1),0)</f>
        <v>0</v>
      </c>
      <c r="G30" s="48">
        <v>6</v>
      </c>
      <c r="H30" s="47"/>
      <c r="I30" s="47"/>
      <c r="J30" s="70" t="s">
        <v>1044</v>
      </c>
      <c r="K30" s="47"/>
      <c r="O30" s="55">
        <f>IF(E30="Not Applicable",0,G30)</f>
        <v>6</v>
      </c>
    </row>
    <row r="31" spans="1:15" ht="96" customHeight="1" x14ac:dyDescent="0.45">
      <c r="A31" s="67" t="s">
        <v>1045</v>
      </c>
      <c r="B31" s="47" t="s">
        <v>1037</v>
      </c>
      <c r="C31" s="47" t="s">
        <v>1046</v>
      </c>
      <c r="D31" s="68" t="s">
        <v>1047</v>
      </c>
      <c r="E31" s="48" t="s">
        <v>319</v>
      </c>
      <c r="F31" s="69">
        <f>IFERROR(ROUND(G31*VLOOKUP(E31,$M$2:$N$8,2,FALSE())/100,1),0)</f>
        <v>0</v>
      </c>
      <c r="G31" s="48">
        <v>8</v>
      </c>
      <c r="H31" s="47"/>
      <c r="I31" s="47"/>
      <c r="J31" s="70" t="s">
        <v>1048</v>
      </c>
      <c r="K31" s="47"/>
      <c r="O31" s="55">
        <f>IF(E31="Not Applicable",0,G31)</f>
        <v>8</v>
      </c>
    </row>
    <row r="32" spans="1:15" ht="15.75" customHeight="1" x14ac:dyDescent="0.45">
      <c r="A32" s="120" t="s">
        <v>1049</v>
      </c>
      <c r="B32" s="86"/>
      <c r="C32" s="86"/>
      <c r="D32" s="86"/>
      <c r="E32" s="86"/>
      <c r="F32" s="86"/>
      <c r="G32" s="86"/>
      <c r="H32" s="86"/>
      <c r="I32" s="86"/>
      <c r="J32" s="86"/>
      <c r="K32" s="86"/>
    </row>
    <row r="33" spans="1:15" ht="120" customHeight="1" x14ac:dyDescent="0.45">
      <c r="A33" s="67" t="s">
        <v>1050</v>
      </c>
      <c r="B33" s="47" t="s">
        <v>1051</v>
      </c>
      <c r="C33" s="47" t="s">
        <v>1052</v>
      </c>
      <c r="D33" s="68" t="s">
        <v>1053</v>
      </c>
      <c r="E33" s="48" t="s">
        <v>319</v>
      </c>
      <c r="F33" s="69">
        <f>IFERROR(ROUND(G33*VLOOKUP(E33,$M$2:$N$8,2,FALSE())/100,1),0)</f>
        <v>0</v>
      </c>
      <c r="G33" s="48">
        <v>10</v>
      </c>
      <c r="H33" s="47"/>
      <c r="I33" s="47"/>
      <c r="J33" s="70" t="s">
        <v>1054</v>
      </c>
      <c r="K33" s="47"/>
      <c r="O33" s="55">
        <f>IF(E33="Not Applicable",0,G33)</f>
        <v>10</v>
      </c>
    </row>
    <row r="34" spans="1:15" ht="84" customHeight="1" x14ac:dyDescent="0.45">
      <c r="A34" s="67" t="s">
        <v>1055</v>
      </c>
      <c r="B34" s="47" t="s">
        <v>1051</v>
      </c>
      <c r="C34" s="47" t="s">
        <v>1056</v>
      </c>
      <c r="D34" s="68" t="s">
        <v>1057</v>
      </c>
      <c r="E34" s="48" t="s">
        <v>319</v>
      </c>
      <c r="F34" s="69">
        <f>IFERROR(ROUND(G34*VLOOKUP(E34,$M$2:$N$8,2,FALSE())/100,1),0)</f>
        <v>0</v>
      </c>
      <c r="G34" s="48">
        <v>8</v>
      </c>
      <c r="H34" s="47"/>
      <c r="I34" s="47"/>
      <c r="J34" s="70" t="s">
        <v>1058</v>
      </c>
      <c r="K34" s="47"/>
      <c r="O34" s="55">
        <f>IF(E34="Not Applicable",0,G34)</f>
        <v>8</v>
      </c>
    </row>
    <row r="35" spans="1:15" ht="15.75" customHeight="1" x14ac:dyDescent="0.45">
      <c r="A35" s="120" t="s">
        <v>1059</v>
      </c>
      <c r="B35" s="86"/>
      <c r="C35" s="86"/>
      <c r="D35" s="86"/>
      <c r="E35" s="86"/>
      <c r="F35" s="86"/>
      <c r="G35" s="86"/>
      <c r="H35" s="86"/>
      <c r="I35" s="86"/>
      <c r="J35" s="86"/>
      <c r="K35" s="86"/>
    </row>
    <row r="36" spans="1:15" ht="96" customHeight="1" x14ac:dyDescent="0.45">
      <c r="A36" s="67" t="s">
        <v>1060</v>
      </c>
      <c r="B36" s="47" t="s">
        <v>1061</v>
      </c>
      <c r="C36" s="47" t="s">
        <v>1062</v>
      </c>
      <c r="D36" s="68" t="s">
        <v>1063</v>
      </c>
      <c r="E36" s="48" t="s">
        <v>319</v>
      </c>
      <c r="F36" s="69">
        <f>IFERROR(ROUND(G36*VLOOKUP(E36,$M$2:$N$8,2,FALSE())/100,1),0)</f>
        <v>0</v>
      </c>
      <c r="G36" s="48">
        <v>8</v>
      </c>
      <c r="H36" s="47"/>
      <c r="I36" s="47"/>
      <c r="J36" s="70" t="s">
        <v>1064</v>
      </c>
      <c r="K36" s="47"/>
      <c r="O36" s="55">
        <f>IF(E36="Not Applicable",0,G36)</f>
        <v>8</v>
      </c>
    </row>
    <row r="37" spans="1:15" ht="120" customHeight="1" x14ac:dyDescent="0.45">
      <c r="A37" s="67" t="s">
        <v>1065</v>
      </c>
      <c r="B37" s="47" t="s">
        <v>1061</v>
      </c>
      <c r="C37" s="47" t="s">
        <v>1066</v>
      </c>
      <c r="D37" s="68" t="s">
        <v>1067</v>
      </c>
      <c r="E37" s="48" t="s">
        <v>319</v>
      </c>
      <c r="F37" s="69">
        <f>IFERROR(ROUND(G37*VLOOKUP(E37,$M$2:$N$8,2,FALSE())/100,1),0)</f>
        <v>0</v>
      </c>
      <c r="G37" s="48">
        <v>8</v>
      </c>
      <c r="H37" s="47"/>
      <c r="I37" s="47"/>
      <c r="J37" s="70" t="s">
        <v>1068</v>
      </c>
      <c r="K37" s="47"/>
      <c r="O37" s="55">
        <f>IF(E37="Not Applicable",0,G37)</f>
        <v>8</v>
      </c>
    </row>
    <row r="38" spans="1:15" ht="96" customHeight="1" x14ac:dyDescent="0.45">
      <c r="A38" s="67" t="s">
        <v>1069</v>
      </c>
      <c r="B38" s="47" t="s">
        <v>1061</v>
      </c>
      <c r="C38" s="47" t="s">
        <v>1070</v>
      </c>
      <c r="D38" s="68" t="s">
        <v>1071</v>
      </c>
      <c r="E38" s="48" t="s">
        <v>319</v>
      </c>
      <c r="F38" s="69">
        <f>IFERROR(ROUND(G38*VLOOKUP(E38,$M$2:$N$8,2,FALSE())/100,1),0)</f>
        <v>0</v>
      </c>
      <c r="G38" s="48">
        <v>8</v>
      </c>
      <c r="H38" s="47"/>
      <c r="I38" s="47"/>
      <c r="J38" s="70" t="s">
        <v>1072</v>
      </c>
      <c r="K38" s="47"/>
      <c r="O38" s="55">
        <f>IF(E38="Not Applicable",0,G38)</f>
        <v>8</v>
      </c>
    </row>
  </sheetData>
  <mergeCells count="12">
    <mergeCell ref="A2:K2"/>
    <mergeCell ref="A28:K28"/>
    <mergeCell ref="A32:K32"/>
    <mergeCell ref="A1:K1"/>
    <mergeCell ref="B4:C4"/>
    <mergeCell ref="A6:K6"/>
    <mergeCell ref="E4:F4"/>
    <mergeCell ref="H4:K4"/>
    <mergeCell ref="A35:K35"/>
    <mergeCell ref="A18:K18"/>
    <mergeCell ref="A23:K23"/>
    <mergeCell ref="G15:H15"/>
  </mergeCells>
  <conditionalFormatting sqref="E18:E38">
    <cfRule type="cellIs" dxfId="119" priority="2" operator="equal">
      <formula>"Best Practice"</formula>
    </cfRule>
    <cfRule type="cellIs" dxfId="118" priority="3" operator="equal">
      <formula>"Verified"</formula>
    </cfRule>
    <cfRule type="cellIs" dxfId="117" priority="4" operator="equal">
      <formula>"Low"</formula>
    </cfRule>
    <cfRule type="cellIs" dxfId="116" priority="5" operator="equal">
      <formula>"Moderate"</formula>
    </cfRule>
    <cfRule type="cellIs" dxfId="115" priority="6" operator="equal">
      <formula>"High"</formula>
    </cfRule>
    <cfRule type="cellIs" dxfId="114" priority="7" operator="equal">
      <formula>"Very High"</formula>
    </cfRule>
    <cfRule type="cellIs" dxfId="113" priority="8" operator="equal">
      <formula>"Not Applicable"</formula>
    </cfRule>
  </conditionalFormatting>
  <conditionalFormatting sqref="G15:H15">
    <cfRule type="cellIs" dxfId="112" priority="9" operator="equal">
      <formula>"Excellence Leader"</formula>
    </cfRule>
    <cfRule type="cellIs" dxfId="111" priority="10" operator="equal">
      <formula>"Gold"</formula>
    </cfRule>
    <cfRule type="cellIs" dxfId="110" priority="11" operator="equal">
      <formula>"Silver"</formula>
    </cfRule>
    <cfRule type="cellIs" dxfId="109" priority="12" operator="equal">
      <formula>"Bronze"</formula>
    </cfRule>
    <cfRule type="cellIs" dxfId="108" priority="13" operator="equal">
      <formula>"Developing"</formula>
    </cfRule>
  </conditionalFormatting>
  <dataValidations count="1">
    <dataValidation type="list" sqref="E19:E22 E24:E27 E29:E31 E33:E34 E36:E38" xr:uid="{00000000-0002-0000-0C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6"/>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3" t="s">
        <v>1073</v>
      </c>
      <c r="B1" s="86"/>
      <c r="C1" s="86"/>
      <c r="D1" s="86"/>
      <c r="E1" s="86"/>
      <c r="F1" s="86"/>
      <c r="G1" s="86"/>
      <c r="H1" s="86"/>
      <c r="I1" s="86"/>
      <c r="J1" s="86"/>
      <c r="K1" s="86"/>
      <c r="M1" s="54" t="s">
        <v>90</v>
      </c>
      <c r="N1" s="54" t="s">
        <v>185</v>
      </c>
    </row>
    <row r="2" spans="1:14" ht="15.75" customHeight="1" x14ac:dyDescent="0.45">
      <c r="A2" s="122" t="s">
        <v>1074</v>
      </c>
      <c r="B2" s="86"/>
      <c r="C2" s="86"/>
      <c r="D2" s="86"/>
      <c r="E2" s="86"/>
      <c r="F2" s="86"/>
      <c r="G2" s="86"/>
      <c r="H2" s="86"/>
      <c r="I2" s="86"/>
      <c r="J2" s="86"/>
      <c r="K2" s="86"/>
      <c r="M2" s="55" t="s">
        <v>93</v>
      </c>
      <c r="N2" s="55">
        <v>100</v>
      </c>
    </row>
    <row r="3" spans="1:14" ht="15" customHeight="1" x14ac:dyDescent="0.45">
      <c r="M3" s="55" t="s">
        <v>94</v>
      </c>
      <c r="N3" s="55">
        <v>100</v>
      </c>
    </row>
    <row r="4" spans="1:14" ht="18" customHeight="1" x14ac:dyDescent="0.45">
      <c r="A4" s="56" t="s">
        <v>84</v>
      </c>
      <c r="B4" s="89" t="str">
        <f>'Pre-Audit Scoping'!D5</f>
        <v xml:space="preserve">Test </v>
      </c>
      <c r="C4" s="86"/>
      <c r="D4" s="56" t="s">
        <v>85</v>
      </c>
      <c r="E4" s="89" t="str">
        <f>'Pre-Audit Scoping'!D10</f>
        <v>July 7-9 2026</v>
      </c>
      <c r="F4" s="86"/>
      <c r="G4" s="56" t="s">
        <v>86</v>
      </c>
      <c r="H4" s="89" t="str">
        <f>TRIM('Pre-Audit Scoping'!D11)&amp;IF(TRIM('Pre-Audit Scoping'!D12)&lt;&gt;"",", "&amp;TRIM('Pre-Audit Scoping'!D12),"")</f>
        <v>Sara Wallon, Gabriel Wallon</v>
      </c>
      <c r="I4" s="86"/>
      <c r="J4" s="86"/>
      <c r="K4" s="86"/>
      <c r="M4" s="55" t="s">
        <v>96</v>
      </c>
      <c r="N4" s="55">
        <v>85</v>
      </c>
    </row>
    <row r="5" spans="1:14" ht="15" customHeight="1" x14ac:dyDescent="0.45">
      <c r="M5" s="55" t="s">
        <v>97</v>
      </c>
      <c r="N5" s="55">
        <v>70</v>
      </c>
    </row>
    <row r="6" spans="1:14" ht="19.5" customHeight="1" x14ac:dyDescent="0.45">
      <c r="A6" s="119" t="s">
        <v>187</v>
      </c>
      <c r="B6" s="86"/>
      <c r="C6" s="86"/>
      <c r="D6" s="86"/>
      <c r="E6" s="86"/>
      <c r="F6" s="86"/>
      <c r="G6" s="86"/>
      <c r="H6" s="86"/>
      <c r="I6" s="86"/>
      <c r="J6" s="86"/>
      <c r="K6" s="86"/>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SUM(F18:F36)</f>
        <v>0</v>
      </c>
      <c r="C8" s="60">
        <f>SUM(O18:O36)</f>
        <v>97</v>
      </c>
      <c r="D8" s="61">
        <f>IF(C8&lt;&gt;0,B8/C8,"N/A")</f>
        <v>0</v>
      </c>
      <c r="F8" s="47" t="s">
        <v>93</v>
      </c>
      <c r="G8" s="62">
        <f>COUNTIF(E18:E36,"Best Practice")</f>
        <v>0</v>
      </c>
      <c r="M8" s="55" t="s">
        <v>191</v>
      </c>
      <c r="N8" s="55">
        <v>0</v>
      </c>
    </row>
    <row r="9" spans="1:14" ht="15" customHeight="1" x14ac:dyDescent="0.45">
      <c r="F9" s="47" t="s">
        <v>94</v>
      </c>
      <c r="G9" s="62">
        <f>COUNTIF(E18:E36,"Verified")</f>
        <v>0</v>
      </c>
    </row>
    <row r="10" spans="1:14" ht="15" customHeight="1" x14ac:dyDescent="0.45">
      <c r="F10" s="47" t="s">
        <v>96</v>
      </c>
      <c r="G10" s="62">
        <f>COUNTIF(E18:E36,"Low")</f>
        <v>0</v>
      </c>
    </row>
    <row r="11" spans="1:14" ht="15" customHeight="1" x14ac:dyDescent="0.45">
      <c r="F11" s="47" t="s">
        <v>97</v>
      </c>
      <c r="G11" s="62">
        <f>COUNTIF(E18:E36,"Moderate")</f>
        <v>0</v>
      </c>
    </row>
    <row r="12" spans="1:14" ht="15" customHeight="1" x14ac:dyDescent="0.45">
      <c r="F12" s="47" t="s">
        <v>98</v>
      </c>
      <c r="G12" s="62">
        <f>COUNTIF(E18:E36,"High")</f>
        <v>0</v>
      </c>
    </row>
    <row r="13" spans="1:14" ht="15" customHeight="1" x14ac:dyDescent="0.45">
      <c r="F13" s="47" t="s">
        <v>99</v>
      </c>
      <c r="G13" s="62">
        <f>COUNTIF(E18:E36,"Very High")</f>
        <v>0</v>
      </c>
    </row>
    <row r="14" spans="1:14" ht="21.75" customHeight="1" x14ac:dyDescent="0.45">
      <c r="F14" s="47" t="s">
        <v>191</v>
      </c>
      <c r="G14" s="62">
        <f>COUNTIF(E18:E36,"Not Applicable")</f>
        <v>0</v>
      </c>
    </row>
    <row r="15" spans="1:14" ht="19.5" customHeight="1" x14ac:dyDescent="0.6">
      <c r="A15" s="63" t="s">
        <v>151</v>
      </c>
      <c r="D15" s="64">
        <f>D8</f>
        <v>0</v>
      </c>
      <c r="F15" s="56" t="s">
        <v>192</v>
      </c>
      <c r="G15" s="121" t="str">
        <f>IF(D8="N/A","N/A",IF(D8&gt;=0.99,"Excellence Leader",IF(D8&gt;=0.9,"Gold",IF(D8&gt;=0.8,"Silver",IF(D8&gt;=0.51,"Bronze","Developing")))))</f>
        <v>Developing</v>
      </c>
      <c r="H15" s="86"/>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0" t="s">
        <v>1075</v>
      </c>
      <c r="B18" s="86"/>
      <c r="C18" s="86"/>
      <c r="D18" s="86"/>
      <c r="E18" s="86"/>
      <c r="F18" s="86"/>
      <c r="G18" s="86"/>
      <c r="H18" s="86"/>
      <c r="I18" s="86"/>
      <c r="J18" s="86"/>
      <c r="K18" s="86"/>
    </row>
    <row r="19" spans="1:15" ht="84" customHeight="1" x14ac:dyDescent="0.45">
      <c r="A19" s="67" t="s">
        <v>1076</v>
      </c>
      <c r="B19" s="47" t="s">
        <v>1077</v>
      </c>
      <c r="C19" s="47" t="s">
        <v>1078</v>
      </c>
      <c r="D19" s="68" t="s">
        <v>1079</v>
      </c>
      <c r="E19" s="48" t="s">
        <v>319</v>
      </c>
      <c r="F19" s="69">
        <f>IFERROR(ROUND(G19*VLOOKUP(E19,$M$2:$N$8,2,FALSE())/100,1),0)</f>
        <v>0</v>
      </c>
      <c r="G19" s="48">
        <v>8</v>
      </c>
      <c r="H19" s="47"/>
      <c r="I19" s="47"/>
      <c r="J19" s="70" t="s">
        <v>1080</v>
      </c>
      <c r="K19" s="47"/>
      <c r="O19" s="55">
        <f>IF(E19="Not Applicable",0,G19)</f>
        <v>8</v>
      </c>
    </row>
    <row r="20" spans="1:15" ht="108" customHeight="1" x14ac:dyDescent="0.45">
      <c r="A20" s="67" t="s">
        <v>1081</v>
      </c>
      <c r="B20" s="47" t="s">
        <v>1077</v>
      </c>
      <c r="C20" s="47" t="s">
        <v>1082</v>
      </c>
      <c r="D20" s="68" t="s">
        <v>1083</v>
      </c>
      <c r="E20" s="48" t="s">
        <v>319</v>
      </c>
      <c r="F20" s="69">
        <f>IFERROR(ROUND(G20*VLOOKUP(E20,$M$2:$N$8,2,FALSE())/100,1),0)</f>
        <v>0</v>
      </c>
      <c r="G20" s="48">
        <v>8</v>
      </c>
      <c r="H20" s="47"/>
      <c r="I20" s="47"/>
      <c r="J20" s="70" t="s">
        <v>1084</v>
      </c>
      <c r="K20" s="47"/>
      <c r="O20" s="55">
        <f>IF(E20="Not Applicable",0,G20)</f>
        <v>8</v>
      </c>
    </row>
    <row r="21" spans="1:15" ht="84" customHeight="1" x14ac:dyDescent="0.45">
      <c r="A21" s="67" t="s">
        <v>1085</v>
      </c>
      <c r="B21" s="47" t="s">
        <v>1077</v>
      </c>
      <c r="C21" s="47" t="s">
        <v>1086</v>
      </c>
      <c r="D21" s="68" t="s">
        <v>1087</v>
      </c>
      <c r="E21" s="48" t="s">
        <v>319</v>
      </c>
      <c r="F21" s="69">
        <f>IFERROR(ROUND(G21*VLOOKUP(E21,$M$2:$N$8,2,FALSE())/100,1),0)</f>
        <v>0</v>
      </c>
      <c r="G21" s="48">
        <v>8</v>
      </c>
      <c r="H21" s="47"/>
      <c r="I21" s="47"/>
      <c r="J21" s="70" t="s">
        <v>1088</v>
      </c>
      <c r="K21" s="47"/>
      <c r="O21" s="55">
        <f>IF(E21="Not Applicable",0,G21)</f>
        <v>8</v>
      </c>
    </row>
    <row r="22" spans="1:15" ht="15.75" customHeight="1" x14ac:dyDescent="0.45">
      <c r="A22" s="120" t="s">
        <v>1089</v>
      </c>
      <c r="B22" s="86"/>
      <c r="C22" s="86"/>
      <c r="D22" s="86"/>
      <c r="E22" s="86"/>
      <c r="F22" s="86"/>
      <c r="G22" s="86"/>
      <c r="H22" s="86"/>
      <c r="I22" s="86"/>
      <c r="J22" s="86"/>
      <c r="K22" s="86"/>
    </row>
    <row r="23" spans="1:15" ht="84" customHeight="1" x14ac:dyDescent="0.45">
      <c r="A23" s="67" t="s">
        <v>1090</v>
      </c>
      <c r="B23" s="47" t="s">
        <v>1091</v>
      </c>
      <c r="C23" s="47" t="s">
        <v>1092</v>
      </c>
      <c r="D23" s="68" t="s">
        <v>1093</v>
      </c>
      <c r="E23" s="48" t="s">
        <v>319</v>
      </c>
      <c r="F23" s="69">
        <f>IFERROR(ROUND(G23*VLOOKUP(E23,$M$2:$N$8,2,FALSE())/100,1),0)</f>
        <v>0</v>
      </c>
      <c r="G23" s="48">
        <v>8</v>
      </c>
      <c r="H23" s="47"/>
      <c r="I23" s="47"/>
      <c r="J23" s="70" t="s">
        <v>1094</v>
      </c>
      <c r="K23" s="47"/>
      <c r="O23" s="55">
        <f>IF(E23="Not Applicable",0,G23)</f>
        <v>8</v>
      </c>
    </row>
    <row r="24" spans="1:15" ht="60" customHeight="1" x14ac:dyDescent="0.45">
      <c r="A24" s="67" t="s">
        <v>1095</v>
      </c>
      <c r="B24" s="47" t="s">
        <v>1091</v>
      </c>
      <c r="C24" s="47" t="s">
        <v>1096</v>
      </c>
      <c r="D24" s="68" t="s">
        <v>1097</v>
      </c>
      <c r="E24" s="48" t="s">
        <v>319</v>
      </c>
      <c r="F24" s="69">
        <f>IFERROR(ROUND(G24*VLOOKUP(E24,$M$2:$N$8,2,FALSE())/100,1),0)</f>
        <v>0</v>
      </c>
      <c r="G24" s="48">
        <v>5</v>
      </c>
      <c r="H24" s="47"/>
      <c r="I24" s="47"/>
      <c r="J24" s="70" t="s">
        <v>1098</v>
      </c>
      <c r="K24" s="47"/>
      <c r="O24" s="55">
        <f>IF(E24="Not Applicable",0,G24)</f>
        <v>5</v>
      </c>
    </row>
    <row r="25" spans="1:15" ht="72" customHeight="1" x14ac:dyDescent="0.45">
      <c r="A25" s="67" t="s">
        <v>1099</v>
      </c>
      <c r="B25" s="47" t="s">
        <v>1091</v>
      </c>
      <c r="C25" s="47" t="s">
        <v>1100</v>
      </c>
      <c r="D25" s="68" t="s">
        <v>1101</v>
      </c>
      <c r="E25" s="48" t="s">
        <v>319</v>
      </c>
      <c r="F25" s="69">
        <f>IFERROR(ROUND(G25*VLOOKUP(E25,$M$2:$N$8,2,FALSE())/100,1),0)</f>
        <v>0</v>
      </c>
      <c r="G25" s="48">
        <v>6</v>
      </c>
      <c r="H25" s="47"/>
      <c r="I25" s="47"/>
      <c r="J25" s="70" t="s">
        <v>1102</v>
      </c>
      <c r="K25" s="47"/>
      <c r="O25" s="55">
        <f>IF(E25="Not Applicable",0,G25)</f>
        <v>6</v>
      </c>
    </row>
    <row r="26" spans="1:15" ht="15.75" customHeight="1" x14ac:dyDescent="0.45">
      <c r="A26" s="120" t="s">
        <v>1103</v>
      </c>
      <c r="B26" s="86"/>
      <c r="C26" s="86"/>
      <c r="D26" s="86"/>
      <c r="E26" s="86"/>
      <c r="F26" s="86"/>
      <c r="G26" s="86"/>
      <c r="H26" s="86"/>
      <c r="I26" s="86"/>
      <c r="J26" s="86"/>
      <c r="K26" s="86"/>
    </row>
    <row r="27" spans="1:15" ht="72" customHeight="1" x14ac:dyDescent="0.45">
      <c r="A27" s="67" t="s">
        <v>1104</v>
      </c>
      <c r="B27" s="47" t="s">
        <v>1105</v>
      </c>
      <c r="C27" s="47" t="s">
        <v>1106</v>
      </c>
      <c r="D27" s="68" t="s">
        <v>1107</v>
      </c>
      <c r="E27" s="48" t="s">
        <v>319</v>
      </c>
      <c r="F27" s="69">
        <f>IFERROR(ROUND(G27*VLOOKUP(E27,$M$2:$N$8,2,FALSE())/100,1),0)</f>
        <v>0</v>
      </c>
      <c r="G27" s="48">
        <v>8</v>
      </c>
      <c r="H27" s="47"/>
      <c r="I27" s="47"/>
      <c r="J27" s="70" t="s">
        <v>1108</v>
      </c>
      <c r="K27" s="47"/>
      <c r="O27" s="55">
        <f>IF(E27="Not Applicable",0,G27)</f>
        <v>8</v>
      </c>
    </row>
    <row r="28" spans="1:15" ht="84" customHeight="1" x14ac:dyDescent="0.45">
      <c r="A28" s="67" t="s">
        <v>1109</v>
      </c>
      <c r="B28" s="47" t="s">
        <v>1105</v>
      </c>
      <c r="C28" s="47" t="s">
        <v>1110</v>
      </c>
      <c r="D28" s="68" t="s">
        <v>1111</v>
      </c>
      <c r="E28" s="48" t="s">
        <v>319</v>
      </c>
      <c r="F28" s="69">
        <f>IFERROR(ROUND(G28*VLOOKUP(E28,$M$2:$N$8,2,FALSE())/100,1),0)</f>
        <v>0</v>
      </c>
      <c r="G28" s="48">
        <v>6</v>
      </c>
      <c r="H28" s="47"/>
      <c r="I28" s="47"/>
      <c r="J28" s="70" t="s">
        <v>1112</v>
      </c>
      <c r="K28" s="47"/>
      <c r="O28" s="55">
        <f>IF(E28="Not Applicable",0,G28)</f>
        <v>6</v>
      </c>
    </row>
    <row r="29" spans="1:15" ht="15.75" customHeight="1" x14ac:dyDescent="0.45">
      <c r="A29" s="120" t="s">
        <v>1113</v>
      </c>
      <c r="B29" s="86"/>
      <c r="C29" s="86"/>
      <c r="D29" s="86"/>
      <c r="E29" s="86"/>
      <c r="F29" s="86"/>
      <c r="G29" s="86"/>
      <c r="H29" s="86"/>
      <c r="I29" s="86"/>
      <c r="J29" s="86"/>
      <c r="K29" s="86"/>
    </row>
    <row r="30" spans="1:15" ht="84" customHeight="1" x14ac:dyDescent="0.45">
      <c r="A30" s="67" t="s">
        <v>1114</v>
      </c>
      <c r="B30" s="47" t="s">
        <v>1115</v>
      </c>
      <c r="C30" s="47" t="s">
        <v>1116</v>
      </c>
      <c r="D30" s="68" t="s">
        <v>1117</v>
      </c>
      <c r="E30" s="48" t="s">
        <v>319</v>
      </c>
      <c r="F30" s="69">
        <f>IFERROR(ROUND(G30*VLOOKUP(E30,$M$2:$N$8,2,FALSE())/100,1),0)</f>
        <v>0</v>
      </c>
      <c r="G30" s="48">
        <v>10</v>
      </c>
      <c r="H30" s="47"/>
      <c r="I30" s="47"/>
      <c r="J30" s="70" t="s">
        <v>1118</v>
      </c>
      <c r="K30" s="47"/>
      <c r="O30" s="55">
        <f>IF(E30="Not Applicable",0,G30)</f>
        <v>10</v>
      </c>
    </row>
    <row r="31" spans="1:15" ht="96" customHeight="1" x14ac:dyDescent="0.45">
      <c r="A31" s="67" t="s">
        <v>1119</v>
      </c>
      <c r="B31" s="47" t="s">
        <v>1115</v>
      </c>
      <c r="C31" s="47" t="s">
        <v>1120</v>
      </c>
      <c r="D31" s="68" t="s">
        <v>1121</v>
      </c>
      <c r="E31" s="48" t="s">
        <v>319</v>
      </c>
      <c r="F31" s="69">
        <f>IFERROR(ROUND(G31*VLOOKUP(E31,$M$2:$N$8,2,FALSE())/100,1),0)</f>
        <v>0</v>
      </c>
      <c r="G31" s="48">
        <v>8</v>
      </c>
      <c r="H31" s="47"/>
      <c r="I31" s="47"/>
      <c r="J31" s="70" t="s">
        <v>1122</v>
      </c>
      <c r="K31" s="47"/>
      <c r="O31" s="55">
        <f>IF(E31="Not Applicable",0,G31)</f>
        <v>8</v>
      </c>
    </row>
    <row r="32" spans="1:15" ht="15.75" customHeight="1" x14ac:dyDescent="0.45">
      <c r="A32" s="120" t="s">
        <v>1123</v>
      </c>
      <c r="B32" s="86"/>
      <c r="C32" s="86"/>
      <c r="D32" s="86"/>
      <c r="E32" s="86"/>
      <c r="F32" s="86"/>
      <c r="G32" s="86"/>
      <c r="H32" s="86"/>
      <c r="I32" s="86"/>
      <c r="J32" s="86"/>
      <c r="K32" s="86"/>
    </row>
    <row r="33" spans="1:15" ht="96" customHeight="1" x14ac:dyDescent="0.45">
      <c r="A33" s="67" t="s">
        <v>1124</v>
      </c>
      <c r="B33" s="47" t="s">
        <v>1125</v>
      </c>
      <c r="C33" s="47" t="s">
        <v>1126</v>
      </c>
      <c r="D33" s="68" t="s">
        <v>1127</v>
      </c>
      <c r="E33" s="48" t="s">
        <v>319</v>
      </c>
      <c r="F33" s="69">
        <f>IFERROR(ROUND(G33*VLOOKUP(E33,$M$2:$N$8,2,FALSE())/100,1),0)</f>
        <v>0</v>
      </c>
      <c r="G33" s="48">
        <v>8</v>
      </c>
      <c r="H33" s="47"/>
      <c r="I33" s="47"/>
      <c r="J33" s="70" t="s">
        <v>1128</v>
      </c>
      <c r="K33" s="47"/>
      <c r="O33" s="55">
        <f>IF(E33="Not Applicable",0,G33)</f>
        <v>8</v>
      </c>
    </row>
    <row r="34" spans="1:15" ht="72" customHeight="1" x14ac:dyDescent="0.45">
      <c r="A34" s="67" t="s">
        <v>1129</v>
      </c>
      <c r="B34" s="47" t="s">
        <v>1125</v>
      </c>
      <c r="C34" s="47" t="s">
        <v>1130</v>
      </c>
      <c r="D34" s="68" t="s">
        <v>1131</v>
      </c>
      <c r="E34" s="48" t="s">
        <v>319</v>
      </c>
      <c r="F34" s="69">
        <f>IFERROR(ROUND(G34*VLOOKUP(E34,$M$2:$N$8,2,FALSE())/100,1),0)</f>
        <v>0</v>
      </c>
      <c r="G34" s="48">
        <v>8</v>
      </c>
      <c r="H34" s="47"/>
      <c r="I34" s="47"/>
      <c r="J34" s="70" t="s">
        <v>1132</v>
      </c>
      <c r="K34" s="47"/>
      <c r="O34" s="55">
        <f>IF(E34="Not Applicable",0,G34)</f>
        <v>8</v>
      </c>
    </row>
    <row r="35" spans="1:15" ht="15.75" customHeight="1" x14ac:dyDescent="0.45">
      <c r="A35" s="120" t="s">
        <v>1133</v>
      </c>
      <c r="B35" s="86"/>
      <c r="C35" s="86"/>
      <c r="D35" s="86"/>
      <c r="E35" s="86"/>
      <c r="F35" s="86"/>
      <c r="G35" s="86"/>
      <c r="H35" s="86"/>
      <c r="I35" s="86"/>
      <c r="J35" s="86"/>
      <c r="K35" s="86"/>
    </row>
    <row r="36" spans="1:15" ht="96" customHeight="1" x14ac:dyDescent="0.45">
      <c r="A36" s="67" t="s">
        <v>1134</v>
      </c>
      <c r="B36" s="47" t="s">
        <v>1135</v>
      </c>
      <c r="C36" s="47" t="s">
        <v>1136</v>
      </c>
      <c r="D36" s="68" t="s">
        <v>1137</v>
      </c>
      <c r="E36" s="48" t="s">
        <v>319</v>
      </c>
      <c r="F36" s="69">
        <f>IFERROR(ROUND(G36*VLOOKUP(E36,$M$2:$N$8,2,FALSE())/100,1),0)</f>
        <v>0</v>
      </c>
      <c r="G36" s="48">
        <v>6</v>
      </c>
      <c r="H36" s="47"/>
      <c r="I36" s="47"/>
      <c r="J36" s="70" t="s">
        <v>1138</v>
      </c>
      <c r="K36" s="47"/>
      <c r="O36" s="55">
        <f>IF(E36="Not Applicable",0,G36)</f>
        <v>6</v>
      </c>
    </row>
  </sheetData>
  <mergeCells count="13">
    <mergeCell ref="A2:K2"/>
    <mergeCell ref="A32:K32"/>
    <mergeCell ref="A1:K1"/>
    <mergeCell ref="B4:C4"/>
    <mergeCell ref="A6:K6"/>
    <mergeCell ref="E4:F4"/>
    <mergeCell ref="A22:K22"/>
    <mergeCell ref="A35:K35"/>
    <mergeCell ref="A18:K18"/>
    <mergeCell ref="H4:K4"/>
    <mergeCell ref="A26:K26"/>
    <mergeCell ref="G15:H15"/>
    <mergeCell ref="A29:K29"/>
  </mergeCells>
  <conditionalFormatting sqref="E18:E36">
    <cfRule type="cellIs" dxfId="107" priority="2" operator="equal">
      <formula>"Best Practice"</formula>
    </cfRule>
    <cfRule type="cellIs" dxfId="106" priority="3" operator="equal">
      <formula>"Verified"</formula>
    </cfRule>
    <cfRule type="cellIs" dxfId="105" priority="4" operator="equal">
      <formula>"Low"</formula>
    </cfRule>
    <cfRule type="cellIs" dxfId="104" priority="5" operator="equal">
      <formula>"Moderate"</formula>
    </cfRule>
    <cfRule type="cellIs" dxfId="103" priority="6" operator="equal">
      <formula>"High"</formula>
    </cfRule>
    <cfRule type="cellIs" dxfId="102" priority="7" operator="equal">
      <formula>"Very High"</formula>
    </cfRule>
    <cfRule type="cellIs" dxfId="101" priority="8" operator="equal">
      <formula>"Not Applicable"</formula>
    </cfRule>
  </conditionalFormatting>
  <conditionalFormatting sqref="G15:H15">
    <cfRule type="cellIs" dxfId="100" priority="9" operator="equal">
      <formula>"Excellence Leader"</formula>
    </cfRule>
    <cfRule type="cellIs" dxfId="99" priority="10" operator="equal">
      <formula>"Gold"</formula>
    </cfRule>
    <cfRule type="cellIs" dxfId="98" priority="11" operator="equal">
      <formula>"Silver"</formula>
    </cfRule>
    <cfRule type="cellIs" dxfId="97" priority="12" operator="equal">
      <formula>"Bronze"</formula>
    </cfRule>
    <cfRule type="cellIs" dxfId="96" priority="13" operator="equal">
      <formula>"Developing"</formula>
    </cfRule>
  </conditionalFormatting>
  <dataValidations count="1">
    <dataValidation type="list" sqref="E19:E21 E23:E25 E27:E28 E30:E31 E33:E34 E36" xr:uid="{00000000-0002-0000-0D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2"/>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9" t="s">
        <v>1139</v>
      </c>
      <c r="B1" s="86"/>
      <c r="C1" s="86"/>
      <c r="D1" s="86"/>
      <c r="E1" s="86"/>
      <c r="F1" s="86"/>
      <c r="G1" s="86"/>
      <c r="H1" s="86"/>
      <c r="I1" s="86"/>
      <c r="J1" s="86"/>
      <c r="K1" s="97"/>
      <c r="M1" s="54" t="s">
        <v>90</v>
      </c>
      <c r="N1" s="54" t="s">
        <v>185</v>
      </c>
    </row>
    <row r="2" spans="1:14" ht="15.75" customHeight="1" x14ac:dyDescent="0.45">
      <c r="A2" s="128" t="s">
        <v>1140</v>
      </c>
      <c r="B2" s="86"/>
      <c r="C2" s="86"/>
      <c r="D2" s="86"/>
      <c r="E2" s="86"/>
      <c r="F2" s="86"/>
      <c r="G2" s="86"/>
      <c r="H2" s="86"/>
      <c r="I2" s="86"/>
      <c r="J2" s="86"/>
      <c r="K2" s="97"/>
      <c r="M2" s="55" t="s">
        <v>93</v>
      </c>
      <c r="N2" s="55">
        <v>100</v>
      </c>
    </row>
    <row r="3" spans="1:14" ht="15" customHeight="1" x14ac:dyDescent="0.45">
      <c r="M3" s="55" t="s">
        <v>94</v>
      </c>
      <c r="N3" s="55">
        <v>100</v>
      </c>
    </row>
    <row r="4" spans="1:14" ht="18" customHeight="1" x14ac:dyDescent="0.45">
      <c r="A4" s="56" t="s">
        <v>84</v>
      </c>
      <c r="B4" s="125" t="str">
        <f>'Pre-Audit Scoping'!D5</f>
        <v xml:space="preserve">Test </v>
      </c>
      <c r="C4" s="97"/>
      <c r="D4" s="56" t="s">
        <v>85</v>
      </c>
      <c r="E4" s="125" t="str">
        <f>'Pre-Audit Scoping'!D10</f>
        <v>July 7-9 2026</v>
      </c>
      <c r="F4" s="97"/>
      <c r="G4" s="56" t="s">
        <v>86</v>
      </c>
      <c r="H4" s="125" t="str">
        <f>TRIM('Pre-Audit Scoping'!D11)&amp;IF(TRIM('Pre-Audit Scoping'!D12)&lt;&gt;"",", "&amp;TRIM('Pre-Audit Scoping'!D12),"")</f>
        <v>Sara Wallon, Gabriel Wallon</v>
      </c>
      <c r="I4" s="86"/>
      <c r="J4" s="86"/>
      <c r="K4" s="97"/>
      <c r="M4" s="55" t="s">
        <v>96</v>
      </c>
      <c r="N4" s="55">
        <v>85</v>
      </c>
    </row>
    <row r="5" spans="1:14" ht="15" customHeight="1" x14ac:dyDescent="0.45">
      <c r="M5" s="55" t="s">
        <v>97</v>
      </c>
      <c r="N5" s="55">
        <v>70</v>
      </c>
    </row>
    <row r="6" spans="1:14" ht="19.5" customHeight="1" x14ac:dyDescent="0.45">
      <c r="A6" s="124" t="s">
        <v>187</v>
      </c>
      <c r="B6" s="86"/>
      <c r="C6" s="86"/>
      <c r="D6" s="86"/>
      <c r="E6" s="86"/>
      <c r="F6" s="86"/>
      <c r="G6" s="86"/>
      <c r="H6" s="86"/>
      <c r="I6" s="86"/>
      <c r="J6" s="86"/>
      <c r="K6" s="97"/>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SUM(F18:F32)</f>
        <v>0</v>
      </c>
      <c r="C8" s="60">
        <f>SUM(O18:O32)</f>
        <v>84</v>
      </c>
      <c r="D8" s="61">
        <f>IF(C8&lt;&gt;0,B8/C8,"N/A")</f>
        <v>0</v>
      </c>
      <c r="F8" s="47" t="s">
        <v>93</v>
      </c>
      <c r="G8" s="62">
        <f>COUNTIF(E18:E32,"Best Practice")</f>
        <v>0</v>
      </c>
      <c r="M8" s="55" t="s">
        <v>191</v>
      </c>
      <c r="N8" s="55">
        <v>0</v>
      </c>
    </row>
    <row r="9" spans="1:14" ht="15" customHeight="1" x14ac:dyDescent="0.45">
      <c r="F9" s="47" t="s">
        <v>94</v>
      </c>
      <c r="G9" s="62">
        <f>COUNTIF(E18:E32,"Verified")</f>
        <v>0</v>
      </c>
    </row>
    <row r="10" spans="1:14" ht="15" customHeight="1" x14ac:dyDescent="0.45">
      <c r="F10" s="47" t="s">
        <v>96</v>
      </c>
      <c r="G10" s="62">
        <f>COUNTIF(E18:E32,"Low")</f>
        <v>0</v>
      </c>
    </row>
    <row r="11" spans="1:14" ht="15" customHeight="1" x14ac:dyDescent="0.45">
      <c r="F11" s="47" t="s">
        <v>97</v>
      </c>
      <c r="G11" s="62">
        <f>COUNTIF(E18:E32,"Moderate")</f>
        <v>0</v>
      </c>
    </row>
    <row r="12" spans="1:14" ht="15" customHeight="1" x14ac:dyDescent="0.45">
      <c r="F12" s="47" t="s">
        <v>98</v>
      </c>
      <c r="G12" s="62">
        <f>COUNTIF(E18:E32,"High")</f>
        <v>0</v>
      </c>
    </row>
    <row r="13" spans="1:14" ht="15" customHeight="1" x14ac:dyDescent="0.45">
      <c r="F13" s="47" t="s">
        <v>99</v>
      </c>
      <c r="G13" s="62">
        <f>COUNTIF(E18:E32,"Very High")</f>
        <v>0</v>
      </c>
    </row>
    <row r="14" spans="1:14" ht="21.75" customHeight="1" x14ac:dyDescent="0.45">
      <c r="F14" s="47" t="s">
        <v>191</v>
      </c>
      <c r="G14" s="62">
        <f>COUNTIF(E18:E32,"Not Applicable")</f>
        <v>0</v>
      </c>
    </row>
    <row r="15" spans="1:14" ht="19.5" customHeight="1" x14ac:dyDescent="0.6">
      <c r="A15" s="63" t="s">
        <v>151</v>
      </c>
      <c r="D15" s="64">
        <f>D8</f>
        <v>0</v>
      </c>
      <c r="F15" s="56" t="s">
        <v>192</v>
      </c>
      <c r="G15" s="127" t="str">
        <f>IF(D8="N/A","N/A",IF(D8&gt;=0.99,"Excellence Leader",IF(D8&gt;=0.9,"Gold",IF(D8&gt;=0.8,"Silver",IF(D8&gt;=0.51,"Bronze","Developing")))))</f>
        <v>Developing</v>
      </c>
      <c r="H15" s="97"/>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6" t="s">
        <v>1141</v>
      </c>
      <c r="B18" s="86"/>
      <c r="C18" s="86"/>
      <c r="D18" s="86"/>
      <c r="E18" s="86"/>
      <c r="F18" s="86"/>
      <c r="G18" s="86"/>
      <c r="H18" s="86"/>
      <c r="I18" s="86"/>
      <c r="J18" s="86"/>
      <c r="K18" s="97"/>
    </row>
    <row r="19" spans="1:15" ht="96" customHeight="1" x14ac:dyDescent="0.45">
      <c r="A19" s="67" t="s">
        <v>1142</v>
      </c>
      <c r="B19" s="47" t="s">
        <v>1143</v>
      </c>
      <c r="C19" s="47" t="s">
        <v>1144</v>
      </c>
      <c r="D19" s="68" t="s">
        <v>1145</v>
      </c>
      <c r="E19" s="48" t="s">
        <v>319</v>
      </c>
      <c r="F19" s="69">
        <f>IFERROR(ROUND(G19*VLOOKUP(E19,$M$2:$N$8,2,FALSE())/100,1),0)</f>
        <v>0</v>
      </c>
      <c r="G19" s="48">
        <v>10</v>
      </c>
      <c r="H19" s="47"/>
      <c r="I19" s="47"/>
      <c r="J19" s="70" t="s">
        <v>1146</v>
      </c>
      <c r="K19" s="47"/>
      <c r="O19" s="55">
        <f>IF(E19="Not Applicable",0,G19)</f>
        <v>10</v>
      </c>
    </row>
    <row r="20" spans="1:15" ht="60" customHeight="1" x14ac:dyDescent="0.45">
      <c r="A20" s="67" t="s">
        <v>1147</v>
      </c>
      <c r="B20" s="47" t="s">
        <v>1143</v>
      </c>
      <c r="C20" s="47" t="s">
        <v>1148</v>
      </c>
      <c r="D20" s="68" t="s">
        <v>1149</v>
      </c>
      <c r="E20" s="48" t="s">
        <v>319</v>
      </c>
      <c r="F20" s="69">
        <f>IFERROR(ROUND(G20*VLOOKUP(E20,$M$2:$N$8,2,FALSE())/100,1),0)</f>
        <v>0</v>
      </c>
      <c r="G20" s="48">
        <v>6</v>
      </c>
      <c r="H20" s="47"/>
      <c r="I20" s="47"/>
      <c r="J20" s="70" t="s">
        <v>1150</v>
      </c>
      <c r="K20" s="47"/>
      <c r="O20" s="55">
        <f>IF(E20="Not Applicable",0,G20)</f>
        <v>6</v>
      </c>
    </row>
    <row r="21" spans="1:15" ht="72" customHeight="1" x14ac:dyDescent="0.45">
      <c r="A21" s="67" t="s">
        <v>1151</v>
      </c>
      <c r="B21" s="47" t="s">
        <v>1143</v>
      </c>
      <c r="C21" s="47" t="s">
        <v>1152</v>
      </c>
      <c r="D21" s="68" t="s">
        <v>1153</v>
      </c>
      <c r="E21" s="48" t="s">
        <v>319</v>
      </c>
      <c r="F21" s="69">
        <f>IFERROR(ROUND(G21*VLOOKUP(E21,$M$2:$N$8,2,FALSE())/100,1),0)</f>
        <v>0</v>
      </c>
      <c r="G21" s="48">
        <v>6</v>
      </c>
      <c r="H21" s="47"/>
      <c r="I21" s="47"/>
      <c r="J21" s="70" t="s">
        <v>1154</v>
      </c>
      <c r="K21" s="47"/>
      <c r="O21" s="55">
        <f>IF(E21="Not Applicable",0,G21)</f>
        <v>6</v>
      </c>
    </row>
    <row r="22" spans="1:15" ht="15.75" customHeight="1" x14ac:dyDescent="0.45">
      <c r="A22" s="126" t="s">
        <v>1155</v>
      </c>
      <c r="B22" s="86"/>
      <c r="C22" s="86"/>
      <c r="D22" s="86"/>
      <c r="E22" s="86"/>
      <c r="F22" s="86"/>
      <c r="G22" s="86"/>
      <c r="H22" s="86"/>
      <c r="I22" s="86"/>
      <c r="J22" s="86"/>
      <c r="K22" s="97"/>
    </row>
    <row r="23" spans="1:15" ht="108" customHeight="1" x14ac:dyDescent="0.45">
      <c r="A23" s="67" t="s">
        <v>1156</v>
      </c>
      <c r="B23" s="47" t="s">
        <v>1157</v>
      </c>
      <c r="C23" s="47" t="s">
        <v>1158</v>
      </c>
      <c r="D23" s="68" t="s">
        <v>1159</v>
      </c>
      <c r="E23" s="48" t="s">
        <v>319</v>
      </c>
      <c r="F23" s="69">
        <f>IFERROR(ROUND(G23*VLOOKUP(E23,$M$2:$N$8,2,FALSE())/100,1),0)</f>
        <v>0</v>
      </c>
      <c r="G23" s="48">
        <v>10</v>
      </c>
      <c r="H23" s="47"/>
      <c r="I23" s="47"/>
      <c r="J23" s="70" t="s">
        <v>1160</v>
      </c>
      <c r="K23" s="47"/>
      <c r="O23" s="55">
        <f>IF(E23="Not Applicable",0,G23)</f>
        <v>10</v>
      </c>
    </row>
    <row r="24" spans="1:15" ht="84" customHeight="1" x14ac:dyDescent="0.45">
      <c r="A24" s="67" t="s">
        <v>1161</v>
      </c>
      <c r="B24" s="47" t="s">
        <v>1157</v>
      </c>
      <c r="C24" s="47" t="s">
        <v>1162</v>
      </c>
      <c r="D24" s="68" t="s">
        <v>1163</v>
      </c>
      <c r="E24" s="48" t="s">
        <v>319</v>
      </c>
      <c r="F24" s="69">
        <f>IFERROR(ROUND(G24*VLOOKUP(E24,$M$2:$N$8,2,FALSE())/100,1),0)</f>
        <v>0</v>
      </c>
      <c r="G24" s="48">
        <v>8</v>
      </c>
      <c r="H24" s="47"/>
      <c r="I24" s="47"/>
      <c r="J24" s="70" t="s">
        <v>1164</v>
      </c>
      <c r="K24" s="47"/>
      <c r="O24" s="55">
        <f>IF(E24="Not Applicable",0,G24)</f>
        <v>8</v>
      </c>
    </row>
    <row r="25" spans="1:15" ht="15.75" customHeight="1" x14ac:dyDescent="0.45">
      <c r="A25" s="126" t="s">
        <v>1165</v>
      </c>
      <c r="B25" s="86"/>
      <c r="C25" s="86"/>
      <c r="D25" s="86"/>
      <c r="E25" s="86"/>
      <c r="F25" s="86"/>
      <c r="G25" s="86"/>
      <c r="H25" s="86"/>
      <c r="I25" s="86"/>
      <c r="J25" s="86"/>
      <c r="K25" s="97"/>
    </row>
    <row r="26" spans="1:15" ht="96" customHeight="1" x14ac:dyDescent="0.45">
      <c r="A26" s="67" t="s">
        <v>1166</v>
      </c>
      <c r="B26" s="47" t="s">
        <v>1167</v>
      </c>
      <c r="C26" s="47" t="s">
        <v>1168</v>
      </c>
      <c r="D26" s="68" t="s">
        <v>1169</v>
      </c>
      <c r="E26" s="48" t="s">
        <v>319</v>
      </c>
      <c r="F26" s="69">
        <f>IFERROR(ROUND(G26*VLOOKUP(E26,$M$2:$N$8,2,FALSE())/100,1),0)</f>
        <v>0</v>
      </c>
      <c r="G26" s="48">
        <v>10</v>
      </c>
      <c r="H26" s="47"/>
      <c r="I26" s="47"/>
      <c r="J26" s="70" t="s">
        <v>1170</v>
      </c>
      <c r="K26" s="47"/>
      <c r="O26" s="55">
        <f>IF(E26="Not Applicable",0,G26)</f>
        <v>10</v>
      </c>
    </row>
    <row r="27" spans="1:15" ht="108" customHeight="1" x14ac:dyDescent="0.45">
      <c r="A27" s="67" t="s">
        <v>1171</v>
      </c>
      <c r="B27" s="47" t="s">
        <v>1167</v>
      </c>
      <c r="C27" s="47" t="s">
        <v>1172</v>
      </c>
      <c r="D27" s="68" t="s">
        <v>1173</v>
      </c>
      <c r="E27" s="48" t="s">
        <v>319</v>
      </c>
      <c r="F27" s="69">
        <f>IFERROR(ROUND(G27*VLOOKUP(E27,$M$2:$N$8,2,FALSE())/100,1),0)</f>
        <v>0</v>
      </c>
      <c r="G27" s="48">
        <v>8</v>
      </c>
      <c r="H27" s="47"/>
      <c r="I27" s="47"/>
      <c r="J27" s="70" t="s">
        <v>1174</v>
      </c>
      <c r="K27" s="47"/>
      <c r="O27" s="55">
        <f>IF(E27="Not Applicable",0,G27)</f>
        <v>8</v>
      </c>
    </row>
    <row r="28" spans="1:15" ht="84" customHeight="1" x14ac:dyDescent="0.45">
      <c r="A28" s="67" t="s">
        <v>1175</v>
      </c>
      <c r="B28" s="47" t="s">
        <v>1167</v>
      </c>
      <c r="C28" s="47" t="s">
        <v>1176</v>
      </c>
      <c r="D28" s="68" t="s">
        <v>1177</v>
      </c>
      <c r="E28" s="48" t="s">
        <v>319</v>
      </c>
      <c r="F28" s="69">
        <f>IFERROR(ROUND(G28*VLOOKUP(E28,$M$2:$N$8,2,FALSE())/100,1),0)</f>
        <v>0</v>
      </c>
      <c r="G28" s="48">
        <v>8</v>
      </c>
      <c r="H28" s="47"/>
      <c r="I28" s="47"/>
      <c r="J28" s="70" t="s">
        <v>1178</v>
      </c>
      <c r="K28" s="47"/>
      <c r="O28" s="55">
        <f>IF(E28="Not Applicable",0,G28)</f>
        <v>8</v>
      </c>
    </row>
    <row r="29" spans="1:15" ht="15.75" customHeight="1" x14ac:dyDescent="0.45">
      <c r="A29" s="126" t="s">
        <v>1179</v>
      </c>
      <c r="B29" s="86"/>
      <c r="C29" s="86"/>
      <c r="D29" s="86"/>
      <c r="E29" s="86"/>
      <c r="F29" s="86"/>
      <c r="G29" s="86"/>
      <c r="H29" s="86"/>
      <c r="I29" s="86"/>
      <c r="J29" s="86"/>
      <c r="K29" s="97"/>
    </row>
    <row r="30" spans="1:15" ht="240" customHeight="1" x14ac:dyDescent="0.45">
      <c r="A30" s="67" t="s">
        <v>1180</v>
      </c>
      <c r="B30" s="47" t="s">
        <v>1181</v>
      </c>
      <c r="C30" s="47" t="s">
        <v>1182</v>
      </c>
      <c r="D30" s="68" t="s">
        <v>1183</v>
      </c>
      <c r="E30" s="48" t="s">
        <v>319</v>
      </c>
      <c r="F30" s="69">
        <f>IFERROR(ROUND(G30*VLOOKUP(E30,$M$2:$N$8,2,FALSE())/100,1),0)</f>
        <v>0</v>
      </c>
      <c r="G30" s="48">
        <v>10</v>
      </c>
      <c r="H30" s="47"/>
      <c r="I30" s="47"/>
      <c r="J30" s="70" t="s">
        <v>1184</v>
      </c>
      <c r="K30" s="47"/>
      <c r="O30" s="55">
        <f>IF(E30="Not Applicable",0,G30)</f>
        <v>10</v>
      </c>
    </row>
    <row r="31" spans="1:15" ht="15.75" customHeight="1" x14ac:dyDescent="0.45">
      <c r="A31" s="126" t="s">
        <v>1185</v>
      </c>
      <c r="B31" s="86"/>
      <c r="C31" s="86"/>
      <c r="D31" s="86"/>
      <c r="E31" s="86"/>
      <c r="F31" s="86"/>
      <c r="G31" s="86"/>
      <c r="H31" s="86"/>
      <c r="I31" s="86"/>
      <c r="J31" s="86"/>
      <c r="K31" s="97"/>
    </row>
    <row r="32" spans="1:15" ht="108" customHeight="1" x14ac:dyDescent="0.45">
      <c r="A32" s="67" t="s">
        <v>1186</v>
      </c>
      <c r="B32" s="47" t="s">
        <v>1187</v>
      </c>
      <c r="C32" s="47" t="s">
        <v>1188</v>
      </c>
      <c r="D32" s="68" t="s">
        <v>1189</v>
      </c>
      <c r="E32" s="48" t="s">
        <v>319</v>
      </c>
      <c r="F32" s="69">
        <f>IFERROR(ROUND(G32*VLOOKUP(E32,$M$2:$N$8,2,FALSE())/100,1),0)</f>
        <v>0</v>
      </c>
      <c r="G32" s="48">
        <v>8</v>
      </c>
      <c r="H32" s="47"/>
      <c r="I32" s="47"/>
      <c r="J32" s="70" t="s">
        <v>1190</v>
      </c>
      <c r="K32" s="47"/>
      <c r="O32" s="55">
        <f>IF(E32="Not Applicable",0,G32)</f>
        <v>8</v>
      </c>
    </row>
  </sheetData>
  <mergeCells count="12">
    <mergeCell ref="A31:K31"/>
    <mergeCell ref="A29:K29"/>
    <mergeCell ref="A25:K25"/>
    <mergeCell ref="A2:K2"/>
    <mergeCell ref="A1:K1"/>
    <mergeCell ref="B4:C4"/>
    <mergeCell ref="A6:K6"/>
    <mergeCell ref="E4:F4"/>
    <mergeCell ref="A22:K22"/>
    <mergeCell ref="A18:K18"/>
    <mergeCell ref="H4:K4"/>
    <mergeCell ref="G15:H15"/>
  </mergeCells>
  <conditionalFormatting sqref="E18:E32">
    <cfRule type="cellIs" dxfId="95" priority="2" operator="equal">
      <formula>"Best Practice"</formula>
    </cfRule>
    <cfRule type="cellIs" dxfId="94" priority="3" operator="equal">
      <formula>"Verified"</formula>
    </cfRule>
    <cfRule type="cellIs" dxfId="93" priority="4" operator="equal">
      <formula>"Low"</formula>
    </cfRule>
    <cfRule type="cellIs" dxfId="92" priority="5" operator="equal">
      <formula>"Moderate"</formula>
    </cfRule>
    <cfRule type="cellIs" dxfId="91" priority="6" operator="equal">
      <formula>"High"</formula>
    </cfRule>
    <cfRule type="cellIs" dxfId="90" priority="7" operator="equal">
      <formula>"Very High"</formula>
    </cfRule>
    <cfRule type="cellIs" dxfId="89" priority="8" operator="equal">
      <formula>"Not Applicable"</formula>
    </cfRule>
  </conditionalFormatting>
  <conditionalFormatting sqref="G15:H15">
    <cfRule type="cellIs" dxfId="88" priority="9" operator="equal">
      <formula>"Excellence Leader"</formula>
    </cfRule>
    <cfRule type="cellIs" dxfId="87" priority="10" operator="equal">
      <formula>"Gold"</formula>
    </cfRule>
    <cfRule type="cellIs" dxfId="86" priority="11" operator="equal">
      <formula>"Silver"</formula>
    </cfRule>
    <cfRule type="cellIs" dxfId="85" priority="12" operator="equal">
      <formula>"Bronze"</formula>
    </cfRule>
    <cfRule type="cellIs" dxfId="84" priority="13" operator="equal">
      <formula>"Developing"</formula>
    </cfRule>
  </conditionalFormatting>
  <dataValidations count="1">
    <dataValidation type="list" sqref="E19:E21 E23:E24 E26:E28 E30 E32" xr:uid="{00000000-0002-0000-0E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3"/>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9" t="s">
        <v>1191</v>
      </c>
      <c r="B1" s="86"/>
      <c r="C1" s="86"/>
      <c r="D1" s="86"/>
      <c r="E1" s="86"/>
      <c r="F1" s="86"/>
      <c r="G1" s="86"/>
      <c r="H1" s="86"/>
      <c r="I1" s="86"/>
      <c r="J1" s="86"/>
      <c r="K1" s="97"/>
      <c r="M1" s="54" t="s">
        <v>90</v>
      </c>
      <c r="N1" s="54" t="s">
        <v>185</v>
      </c>
    </row>
    <row r="2" spans="1:14" ht="15.75" customHeight="1" x14ac:dyDescent="0.45">
      <c r="A2" s="128" t="s">
        <v>1192</v>
      </c>
      <c r="B2" s="86"/>
      <c r="C2" s="86"/>
      <c r="D2" s="86"/>
      <c r="E2" s="86"/>
      <c r="F2" s="86"/>
      <c r="G2" s="86"/>
      <c r="H2" s="86"/>
      <c r="I2" s="86"/>
      <c r="J2" s="86"/>
      <c r="K2" s="97"/>
      <c r="M2" s="55" t="s">
        <v>93</v>
      </c>
      <c r="N2" s="55">
        <v>100</v>
      </c>
    </row>
    <row r="3" spans="1:14" ht="15" customHeight="1" x14ac:dyDescent="0.45">
      <c r="M3" s="55" t="s">
        <v>94</v>
      </c>
      <c r="N3" s="55">
        <v>100</v>
      </c>
    </row>
    <row r="4" spans="1:14" ht="18" customHeight="1" x14ac:dyDescent="0.45">
      <c r="A4" s="56" t="s">
        <v>84</v>
      </c>
      <c r="B4" s="125" t="str">
        <f>'Pre-Audit Scoping'!D5</f>
        <v xml:space="preserve">Test </v>
      </c>
      <c r="C4" s="97"/>
      <c r="D4" s="56" t="s">
        <v>85</v>
      </c>
      <c r="E4" s="125" t="str">
        <f>'Pre-Audit Scoping'!D10</f>
        <v>July 7-9 2026</v>
      </c>
      <c r="F4" s="97"/>
      <c r="G4" s="56" t="s">
        <v>86</v>
      </c>
      <c r="H4" s="125" t="str">
        <f>TRIM('Pre-Audit Scoping'!D11)&amp;IF(TRIM('Pre-Audit Scoping'!D12)&lt;&gt;"",", "&amp;TRIM('Pre-Audit Scoping'!D12),"")</f>
        <v>Sara Wallon, Gabriel Wallon</v>
      </c>
      <c r="I4" s="86"/>
      <c r="J4" s="86"/>
      <c r="K4" s="97"/>
      <c r="M4" s="55" t="s">
        <v>96</v>
      </c>
      <c r="N4" s="55">
        <v>85</v>
      </c>
    </row>
    <row r="5" spans="1:14" ht="15" customHeight="1" x14ac:dyDescent="0.45">
      <c r="M5" s="55" t="s">
        <v>97</v>
      </c>
      <c r="N5" s="55">
        <v>70</v>
      </c>
    </row>
    <row r="6" spans="1:14" ht="19.5" customHeight="1" x14ac:dyDescent="0.45">
      <c r="A6" s="124" t="s">
        <v>187</v>
      </c>
      <c r="B6" s="86"/>
      <c r="C6" s="86"/>
      <c r="D6" s="86"/>
      <c r="E6" s="86"/>
      <c r="F6" s="86"/>
      <c r="G6" s="86"/>
      <c r="H6" s="86"/>
      <c r="I6" s="86"/>
      <c r="J6" s="86"/>
      <c r="K6" s="97"/>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SUM(F18:F33)</f>
        <v>0</v>
      </c>
      <c r="C8" s="60">
        <f>SUM(O18:O33)</f>
        <v>88</v>
      </c>
      <c r="D8" s="61">
        <f>IF(C8&lt;&gt;0,B8/C8,"N/A")</f>
        <v>0</v>
      </c>
      <c r="F8" s="47" t="s">
        <v>93</v>
      </c>
      <c r="G8" s="62">
        <f>COUNTIF(E18:E33,"Best Practice")</f>
        <v>0</v>
      </c>
      <c r="M8" s="55" t="s">
        <v>191</v>
      </c>
      <c r="N8" s="55">
        <v>0</v>
      </c>
    </row>
    <row r="9" spans="1:14" ht="15" customHeight="1" x14ac:dyDescent="0.45">
      <c r="F9" s="47" t="s">
        <v>94</v>
      </c>
      <c r="G9" s="62">
        <f>COUNTIF(E18:E33,"Verified")</f>
        <v>0</v>
      </c>
    </row>
    <row r="10" spans="1:14" ht="15" customHeight="1" x14ac:dyDescent="0.45">
      <c r="F10" s="47" t="s">
        <v>96</v>
      </c>
      <c r="G10" s="62">
        <f>COUNTIF(E18:E33,"Low")</f>
        <v>0</v>
      </c>
    </row>
    <row r="11" spans="1:14" ht="15" customHeight="1" x14ac:dyDescent="0.45">
      <c r="F11" s="47" t="s">
        <v>97</v>
      </c>
      <c r="G11" s="62">
        <f>COUNTIF(E18:E33,"Moderate")</f>
        <v>0</v>
      </c>
    </row>
    <row r="12" spans="1:14" ht="15" customHeight="1" x14ac:dyDescent="0.45">
      <c r="F12" s="47" t="s">
        <v>98</v>
      </c>
      <c r="G12" s="62">
        <f>COUNTIF(E18:E33,"High")</f>
        <v>0</v>
      </c>
    </row>
    <row r="13" spans="1:14" ht="15" customHeight="1" x14ac:dyDescent="0.45">
      <c r="F13" s="47" t="s">
        <v>99</v>
      </c>
      <c r="G13" s="62">
        <f>COUNTIF(E18:E33,"Very High")</f>
        <v>0</v>
      </c>
    </row>
    <row r="14" spans="1:14" ht="21.75" customHeight="1" x14ac:dyDescent="0.45">
      <c r="F14" s="47" t="s">
        <v>191</v>
      </c>
      <c r="G14" s="62">
        <f>COUNTIF(E18:E33,"Not Applicable")</f>
        <v>0</v>
      </c>
    </row>
    <row r="15" spans="1:14" ht="19.5" customHeight="1" x14ac:dyDescent="0.6">
      <c r="A15" s="63" t="s">
        <v>151</v>
      </c>
      <c r="D15" s="64">
        <f>D8</f>
        <v>0</v>
      </c>
      <c r="F15" s="56" t="s">
        <v>192</v>
      </c>
      <c r="G15" s="127" t="str">
        <f>IF(D8="N/A","N/A",IF(D8&gt;=0.99,"Excellence Leader",IF(D8&gt;=0.9,"Gold",IF(D8&gt;=0.8,"Silver",IF(D8&gt;=0.51,"Bronze","Developing")))))</f>
        <v>Developing</v>
      </c>
      <c r="H15" s="97"/>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6" t="s">
        <v>1193</v>
      </c>
      <c r="B18" s="86"/>
      <c r="C18" s="86"/>
      <c r="D18" s="86"/>
      <c r="E18" s="86"/>
      <c r="F18" s="86"/>
      <c r="G18" s="86"/>
      <c r="H18" s="86"/>
      <c r="I18" s="86"/>
      <c r="J18" s="86"/>
      <c r="K18" s="97"/>
    </row>
    <row r="19" spans="1:15" ht="96" customHeight="1" x14ac:dyDescent="0.45">
      <c r="A19" s="67" t="s">
        <v>1194</v>
      </c>
      <c r="B19" s="47" t="s">
        <v>1195</v>
      </c>
      <c r="C19" s="47" t="s">
        <v>1196</v>
      </c>
      <c r="D19" s="68" t="s">
        <v>1197</v>
      </c>
      <c r="E19" s="48" t="s">
        <v>319</v>
      </c>
      <c r="F19" s="69">
        <f>IFERROR(ROUND(G19*VLOOKUP(E19,$M$2:$N$8,2,FALSE())/100,1),0)</f>
        <v>0</v>
      </c>
      <c r="G19" s="48">
        <v>6</v>
      </c>
      <c r="H19" s="47"/>
      <c r="I19" s="47"/>
      <c r="J19" s="70" t="s">
        <v>1198</v>
      </c>
      <c r="K19" s="47"/>
      <c r="O19" s="55">
        <f>IF(E19="Not Applicable",0,G19)</f>
        <v>6</v>
      </c>
    </row>
    <row r="20" spans="1:15" ht="15.75" customHeight="1" x14ac:dyDescent="0.45">
      <c r="A20" s="126" t="s">
        <v>1199</v>
      </c>
      <c r="B20" s="86"/>
      <c r="C20" s="86"/>
      <c r="D20" s="86"/>
      <c r="E20" s="86"/>
      <c r="F20" s="86"/>
      <c r="G20" s="86"/>
      <c r="H20" s="86"/>
      <c r="I20" s="86"/>
      <c r="J20" s="86"/>
      <c r="K20" s="97"/>
    </row>
    <row r="21" spans="1:15" ht="72" customHeight="1" x14ac:dyDescent="0.45">
      <c r="A21" s="67" t="s">
        <v>1200</v>
      </c>
      <c r="B21" s="47" t="s">
        <v>1201</v>
      </c>
      <c r="C21" s="47" t="s">
        <v>1202</v>
      </c>
      <c r="D21" s="68" t="s">
        <v>1203</v>
      </c>
      <c r="E21" s="48" t="s">
        <v>319</v>
      </c>
      <c r="F21" s="69">
        <f>IFERROR(ROUND(G21*VLOOKUP(E21,$M$2:$N$8,2,FALSE())/100,1),0)</f>
        <v>0</v>
      </c>
      <c r="G21" s="48">
        <v>8</v>
      </c>
      <c r="H21" s="47"/>
      <c r="I21" s="47"/>
      <c r="J21" s="70" t="s">
        <v>1204</v>
      </c>
      <c r="K21" s="47"/>
      <c r="O21" s="55">
        <f>IF(E21="Not Applicable",0,G21)</f>
        <v>8</v>
      </c>
    </row>
    <row r="22" spans="1:15" ht="72" customHeight="1" x14ac:dyDescent="0.45">
      <c r="A22" s="67" t="s">
        <v>1205</v>
      </c>
      <c r="B22" s="47" t="s">
        <v>1201</v>
      </c>
      <c r="C22" s="47" t="s">
        <v>1206</v>
      </c>
      <c r="D22" s="68" t="s">
        <v>1207</v>
      </c>
      <c r="E22" s="48" t="s">
        <v>319</v>
      </c>
      <c r="F22" s="69">
        <f>IFERROR(ROUND(G22*VLOOKUP(E22,$M$2:$N$8,2,FALSE())/100,1),0)</f>
        <v>0</v>
      </c>
      <c r="G22" s="48">
        <v>6</v>
      </c>
      <c r="H22" s="47"/>
      <c r="I22" s="47"/>
      <c r="J22" s="70" t="s">
        <v>1208</v>
      </c>
      <c r="K22" s="47"/>
      <c r="O22" s="55">
        <f>IF(E22="Not Applicable",0,G22)</f>
        <v>6</v>
      </c>
    </row>
    <row r="23" spans="1:15" ht="15.75" customHeight="1" x14ac:dyDescent="0.45">
      <c r="A23" s="126" t="s">
        <v>1209</v>
      </c>
      <c r="B23" s="86"/>
      <c r="C23" s="86"/>
      <c r="D23" s="86"/>
      <c r="E23" s="86"/>
      <c r="F23" s="86"/>
      <c r="G23" s="86"/>
      <c r="H23" s="86"/>
      <c r="I23" s="86"/>
      <c r="J23" s="86"/>
      <c r="K23" s="97"/>
    </row>
    <row r="24" spans="1:15" ht="96" customHeight="1" x14ac:dyDescent="0.45">
      <c r="A24" s="67" t="s">
        <v>1210</v>
      </c>
      <c r="B24" s="47" t="s">
        <v>1211</v>
      </c>
      <c r="C24" s="47" t="s">
        <v>1212</v>
      </c>
      <c r="D24" s="68" t="s">
        <v>1213</v>
      </c>
      <c r="E24" s="48" t="s">
        <v>319</v>
      </c>
      <c r="F24" s="69">
        <f>IFERROR(ROUND(G24*VLOOKUP(E24,$M$2:$N$8,2,FALSE())/100,1),0)</f>
        <v>0</v>
      </c>
      <c r="G24" s="48">
        <v>10</v>
      </c>
      <c r="H24" s="47"/>
      <c r="I24" s="47"/>
      <c r="J24" s="70" t="s">
        <v>1214</v>
      </c>
      <c r="K24" s="47"/>
      <c r="O24" s="55">
        <f>IF(E24="Not Applicable",0,G24)</f>
        <v>10</v>
      </c>
    </row>
    <row r="25" spans="1:15" ht="96" customHeight="1" x14ac:dyDescent="0.45">
      <c r="A25" s="67" t="s">
        <v>1215</v>
      </c>
      <c r="B25" s="47" t="s">
        <v>1211</v>
      </c>
      <c r="C25" s="47" t="s">
        <v>1216</v>
      </c>
      <c r="D25" s="68" t="s">
        <v>1217</v>
      </c>
      <c r="E25" s="48" t="s">
        <v>319</v>
      </c>
      <c r="F25" s="69">
        <f>IFERROR(ROUND(G25*VLOOKUP(E25,$M$2:$N$8,2,FALSE())/100,1),0)</f>
        <v>0</v>
      </c>
      <c r="G25" s="48">
        <v>8</v>
      </c>
      <c r="H25" s="47"/>
      <c r="I25" s="47"/>
      <c r="J25" s="70" t="s">
        <v>1218</v>
      </c>
      <c r="K25" s="47"/>
      <c r="O25" s="55">
        <f>IF(E25="Not Applicable",0,G25)</f>
        <v>8</v>
      </c>
    </row>
    <row r="26" spans="1:15" ht="72" customHeight="1" x14ac:dyDescent="0.45">
      <c r="A26" s="67" t="s">
        <v>1219</v>
      </c>
      <c r="B26" s="47" t="s">
        <v>1211</v>
      </c>
      <c r="C26" s="47" t="s">
        <v>1220</v>
      </c>
      <c r="D26" s="68" t="s">
        <v>1221</v>
      </c>
      <c r="E26" s="48" t="s">
        <v>319</v>
      </c>
      <c r="F26" s="69">
        <f>IFERROR(ROUND(G26*VLOOKUP(E26,$M$2:$N$8,2,FALSE())/100,1),0)</f>
        <v>0</v>
      </c>
      <c r="G26" s="48">
        <v>6</v>
      </c>
      <c r="H26" s="47"/>
      <c r="I26" s="47"/>
      <c r="J26" s="70" t="s">
        <v>1222</v>
      </c>
      <c r="K26" s="47"/>
      <c r="O26" s="55">
        <f>IF(E26="Not Applicable",0,G26)</f>
        <v>6</v>
      </c>
    </row>
    <row r="27" spans="1:15" ht="15.75" customHeight="1" x14ac:dyDescent="0.45">
      <c r="A27" s="126" t="s">
        <v>1223</v>
      </c>
      <c r="B27" s="86"/>
      <c r="C27" s="86"/>
      <c r="D27" s="86"/>
      <c r="E27" s="86"/>
      <c r="F27" s="86"/>
      <c r="G27" s="86"/>
      <c r="H27" s="86"/>
      <c r="I27" s="86"/>
      <c r="J27" s="86"/>
      <c r="K27" s="97"/>
    </row>
    <row r="28" spans="1:15" ht="96" customHeight="1" x14ac:dyDescent="0.45">
      <c r="A28" s="67" t="s">
        <v>1224</v>
      </c>
      <c r="B28" s="47" t="s">
        <v>1225</v>
      </c>
      <c r="C28" s="47" t="s">
        <v>1226</v>
      </c>
      <c r="D28" s="68" t="s">
        <v>1227</v>
      </c>
      <c r="E28" s="48" t="s">
        <v>319</v>
      </c>
      <c r="F28" s="69">
        <f>IFERROR(ROUND(G28*VLOOKUP(E28,$M$2:$N$8,2,FALSE())/100,1),0)</f>
        <v>0</v>
      </c>
      <c r="G28" s="48">
        <v>10</v>
      </c>
      <c r="H28" s="47"/>
      <c r="I28" s="47"/>
      <c r="J28" s="70" t="s">
        <v>1228</v>
      </c>
      <c r="K28" s="47"/>
      <c r="O28" s="55">
        <f>IF(E28="Not Applicable",0,G28)</f>
        <v>10</v>
      </c>
    </row>
    <row r="29" spans="1:15" ht="84" customHeight="1" x14ac:dyDescent="0.45">
      <c r="A29" s="67" t="s">
        <v>1229</v>
      </c>
      <c r="B29" s="47" t="s">
        <v>1225</v>
      </c>
      <c r="C29" s="47" t="s">
        <v>1230</v>
      </c>
      <c r="D29" s="68" t="s">
        <v>1231</v>
      </c>
      <c r="E29" s="48" t="s">
        <v>319</v>
      </c>
      <c r="F29" s="69">
        <f>IFERROR(ROUND(G29*VLOOKUP(E29,$M$2:$N$8,2,FALSE())/100,1),0)</f>
        <v>0</v>
      </c>
      <c r="G29" s="48">
        <v>8</v>
      </c>
      <c r="H29" s="47"/>
      <c r="I29" s="47"/>
      <c r="J29" s="70" t="s">
        <v>1232</v>
      </c>
      <c r="K29" s="47"/>
      <c r="O29" s="55">
        <f>IF(E29="Not Applicable",0,G29)</f>
        <v>8</v>
      </c>
    </row>
    <row r="30" spans="1:15" ht="15.75" customHeight="1" x14ac:dyDescent="0.45">
      <c r="A30" s="126" t="s">
        <v>1233</v>
      </c>
      <c r="B30" s="86"/>
      <c r="C30" s="86"/>
      <c r="D30" s="86"/>
      <c r="E30" s="86"/>
      <c r="F30" s="86"/>
      <c r="G30" s="86"/>
      <c r="H30" s="86"/>
      <c r="I30" s="86"/>
      <c r="J30" s="86"/>
      <c r="K30" s="97"/>
    </row>
    <row r="31" spans="1:15" ht="156" customHeight="1" x14ac:dyDescent="0.45">
      <c r="A31" s="67" t="s">
        <v>1234</v>
      </c>
      <c r="B31" s="47" t="s">
        <v>1235</v>
      </c>
      <c r="C31" s="47" t="s">
        <v>1236</v>
      </c>
      <c r="D31" s="68" t="s">
        <v>1237</v>
      </c>
      <c r="E31" s="48" t="s">
        <v>319</v>
      </c>
      <c r="F31" s="69">
        <f>IFERROR(ROUND(G31*VLOOKUP(E31,$M$2:$N$8,2,FALSE())/100,1),0)</f>
        <v>0</v>
      </c>
      <c r="G31" s="48">
        <v>10</v>
      </c>
      <c r="H31" s="47"/>
      <c r="I31" s="47"/>
      <c r="J31" s="70" t="s">
        <v>1238</v>
      </c>
      <c r="K31" s="47"/>
      <c r="O31" s="55">
        <f>IF(E31="Not Applicable",0,G31)</f>
        <v>10</v>
      </c>
    </row>
    <row r="32" spans="1:15" ht="108" customHeight="1" x14ac:dyDescent="0.45">
      <c r="A32" s="67" t="s">
        <v>1239</v>
      </c>
      <c r="B32" s="47" t="s">
        <v>1235</v>
      </c>
      <c r="C32" s="47" t="s">
        <v>1240</v>
      </c>
      <c r="D32" s="68" t="s">
        <v>1241</v>
      </c>
      <c r="E32" s="48" t="s">
        <v>319</v>
      </c>
      <c r="F32" s="69">
        <f>IFERROR(ROUND(G32*VLOOKUP(E32,$M$2:$N$8,2,FALSE())/100,1),0)</f>
        <v>0</v>
      </c>
      <c r="G32" s="48">
        <v>8</v>
      </c>
      <c r="H32" s="47"/>
      <c r="I32" s="47"/>
      <c r="J32" s="70" t="s">
        <v>1242</v>
      </c>
      <c r="K32" s="47"/>
      <c r="O32" s="55">
        <f>IF(E32="Not Applicable",0,G32)</f>
        <v>8</v>
      </c>
    </row>
    <row r="33" spans="1:15" ht="84" customHeight="1" x14ac:dyDescent="0.45">
      <c r="A33" s="67" t="s">
        <v>1243</v>
      </c>
      <c r="B33" s="47" t="s">
        <v>1235</v>
      </c>
      <c r="C33" s="47" t="s">
        <v>1244</v>
      </c>
      <c r="D33" s="68" t="s">
        <v>1245</v>
      </c>
      <c r="E33" s="48" t="s">
        <v>319</v>
      </c>
      <c r="F33" s="69">
        <f>IFERROR(ROUND(G33*VLOOKUP(E33,$M$2:$N$8,2,FALSE())/100,1),0)</f>
        <v>0</v>
      </c>
      <c r="G33" s="48">
        <v>8</v>
      </c>
      <c r="H33" s="47"/>
      <c r="I33" s="47"/>
      <c r="J33" s="70" t="s">
        <v>1246</v>
      </c>
      <c r="K33" s="47"/>
      <c r="O33" s="55">
        <f>IF(E33="Not Applicable",0,G33)</f>
        <v>8</v>
      </c>
    </row>
  </sheetData>
  <mergeCells count="12">
    <mergeCell ref="A30:K30"/>
    <mergeCell ref="A23:K23"/>
    <mergeCell ref="G15:H15"/>
    <mergeCell ref="A2:K2"/>
    <mergeCell ref="A1:K1"/>
    <mergeCell ref="B4:C4"/>
    <mergeCell ref="A27:K27"/>
    <mergeCell ref="A6:K6"/>
    <mergeCell ref="E4:F4"/>
    <mergeCell ref="H4:K4"/>
    <mergeCell ref="A18:K18"/>
    <mergeCell ref="A20:K20"/>
  </mergeCells>
  <conditionalFormatting sqref="E18:E33">
    <cfRule type="cellIs" dxfId="83" priority="2" operator="equal">
      <formula>"Best Practice"</formula>
    </cfRule>
    <cfRule type="cellIs" dxfId="82" priority="3" operator="equal">
      <formula>"Verified"</formula>
    </cfRule>
    <cfRule type="cellIs" dxfId="81" priority="4" operator="equal">
      <formula>"Low"</formula>
    </cfRule>
    <cfRule type="cellIs" dxfId="80" priority="5" operator="equal">
      <formula>"Moderate"</formula>
    </cfRule>
    <cfRule type="cellIs" dxfId="79" priority="6" operator="equal">
      <formula>"High"</formula>
    </cfRule>
    <cfRule type="cellIs" dxfId="78" priority="7" operator="equal">
      <formula>"Very High"</formula>
    </cfRule>
    <cfRule type="cellIs" dxfId="77" priority="8" operator="equal">
      <formula>"Not Applicable"</formula>
    </cfRule>
  </conditionalFormatting>
  <conditionalFormatting sqref="G15:H15">
    <cfRule type="cellIs" dxfId="76" priority="9" operator="equal">
      <formula>"Excellence Leader"</formula>
    </cfRule>
    <cfRule type="cellIs" dxfId="75" priority="10" operator="equal">
      <formula>"Gold"</formula>
    </cfRule>
    <cfRule type="cellIs" dxfId="74" priority="11" operator="equal">
      <formula>"Silver"</formula>
    </cfRule>
    <cfRule type="cellIs" dxfId="73" priority="12" operator="equal">
      <formula>"Bronze"</formula>
    </cfRule>
    <cfRule type="cellIs" dxfId="72" priority="13" operator="equal">
      <formula>"Developing"</formula>
    </cfRule>
  </conditionalFormatting>
  <dataValidations count="1">
    <dataValidation type="list" sqref="E19 E21:E22 E24:E26 E28:E29 E31:E33" xr:uid="{00000000-0002-0000-0F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1"/>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9" t="s">
        <v>1247</v>
      </c>
      <c r="B1" s="86"/>
      <c r="C1" s="86"/>
      <c r="D1" s="86"/>
      <c r="E1" s="86"/>
      <c r="F1" s="86"/>
      <c r="G1" s="86"/>
      <c r="H1" s="86"/>
      <c r="I1" s="86"/>
      <c r="J1" s="86"/>
      <c r="K1" s="97"/>
      <c r="M1" s="54" t="s">
        <v>90</v>
      </c>
      <c r="N1" s="54" t="s">
        <v>185</v>
      </c>
    </row>
    <row r="2" spans="1:14" ht="15.75" customHeight="1" x14ac:dyDescent="0.45">
      <c r="A2" s="128" t="s">
        <v>1248</v>
      </c>
      <c r="B2" s="86"/>
      <c r="C2" s="86"/>
      <c r="D2" s="86"/>
      <c r="E2" s="86"/>
      <c r="F2" s="86"/>
      <c r="G2" s="86"/>
      <c r="H2" s="86"/>
      <c r="I2" s="86"/>
      <c r="J2" s="86"/>
      <c r="K2" s="97"/>
      <c r="M2" s="55" t="s">
        <v>93</v>
      </c>
      <c r="N2" s="55">
        <v>100</v>
      </c>
    </row>
    <row r="3" spans="1:14" ht="15" customHeight="1" x14ac:dyDescent="0.45">
      <c r="M3" s="55" t="s">
        <v>94</v>
      </c>
      <c r="N3" s="55">
        <v>100</v>
      </c>
    </row>
    <row r="4" spans="1:14" ht="18" customHeight="1" x14ac:dyDescent="0.45">
      <c r="A4" s="56" t="s">
        <v>84</v>
      </c>
      <c r="B4" s="125" t="str">
        <f>'Pre-Audit Scoping'!D5</f>
        <v xml:space="preserve">Test </v>
      </c>
      <c r="C4" s="97"/>
      <c r="D4" s="56" t="s">
        <v>85</v>
      </c>
      <c r="E4" s="125" t="str">
        <f>'Pre-Audit Scoping'!D10</f>
        <v>July 7-9 2026</v>
      </c>
      <c r="F4" s="97"/>
      <c r="G4" s="56" t="s">
        <v>86</v>
      </c>
      <c r="H4" s="125" t="str">
        <f>TRIM('Pre-Audit Scoping'!D11)&amp;IF(TRIM('Pre-Audit Scoping'!D12)&lt;&gt;"",", "&amp;TRIM('Pre-Audit Scoping'!D12),"")</f>
        <v>Sara Wallon, Gabriel Wallon</v>
      </c>
      <c r="I4" s="86"/>
      <c r="J4" s="86"/>
      <c r="K4" s="97"/>
      <c r="M4" s="55" t="s">
        <v>96</v>
      </c>
      <c r="N4" s="55">
        <v>85</v>
      </c>
    </row>
    <row r="5" spans="1:14" ht="15" customHeight="1" x14ac:dyDescent="0.45">
      <c r="M5" s="55" t="s">
        <v>97</v>
      </c>
      <c r="N5" s="55">
        <v>70</v>
      </c>
    </row>
    <row r="6" spans="1:14" ht="19.5" customHeight="1" x14ac:dyDescent="0.45">
      <c r="A6" s="124" t="s">
        <v>187</v>
      </c>
      <c r="B6" s="86"/>
      <c r="C6" s="86"/>
      <c r="D6" s="86"/>
      <c r="E6" s="86"/>
      <c r="F6" s="86"/>
      <c r="G6" s="86"/>
      <c r="H6" s="86"/>
      <c r="I6" s="86"/>
      <c r="J6" s="86"/>
      <c r="K6" s="97"/>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SUM(F18:F31)</f>
        <v>0</v>
      </c>
      <c r="C8" s="60">
        <f>SUM(O18:O31)</f>
        <v>88</v>
      </c>
      <c r="D8" s="61">
        <f>IF(C8&lt;&gt;0,B8/C8,"N/A")</f>
        <v>0</v>
      </c>
      <c r="F8" s="47" t="s">
        <v>93</v>
      </c>
      <c r="G8" s="62">
        <f>COUNTIF(E18:E31,"Best Practice")</f>
        <v>0</v>
      </c>
      <c r="M8" s="55" t="s">
        <v>191</v>
      </c>
      <c r="N8" s="55">
        <v>0</v>
      </c>
    </row>
    <row r="9" spans="1:14" ht="15" customHeight="1" x14ac:dyDescent="0.45">
      <c r="F9" s="47" t="s">
        <v>94</v>
      </c>
      <c r="G9" s="62">
        <f>COUNTIF(E18:E31,"Verified")</f>
        <v>0</v>
      </c>
    </row>
    <row r="10" spans="1:14" ht="15" customHeight="1" x14ac:dyDescent="0.45">
      <c r="F10" s="47" t="s">
        <v>96</v>
      </c>
      <c r="G10" s="62">
        <f>COUNTIF(E18:E31,"Low")</f>
        <v>0</v>
      </c>
    </row>
    <row r="11" spans="1:14" ht="15" customHeight="1" x14ac:dyDescent="0.45">
      <c r="F11" s="47" t="s">
        <v>97</v>
      </c>
      <c r="G11" s="62">
        <f>COUNTIF(E18:E31,"Moderate")</f>
        <v>0</v>
      </c>
    </row>
    <row r="12" spans="1:14" ht="15" customHeight="1" x14ac:dyDescent="0.45">
      <c r="F12" s="47" t="s">
        <v>98</v>
      </c>
      <c r="G12" s="62">
        <f>COUNTIF(E18:E31,"High")</f>
        <v>0</v>
      </c>
    </row>
    <row r="13" spans="1:14" ht="15" customHeight="1" x14ac:dyDescent="0.45">
      <c r="F13" s="47" t="s">
        <v>99</v>
      </c>
      <c r="G13" s="62">
        <f>COUNTIF(E18:E31,"Very High")</f>
        <v>0</v>
      </c>
    </row>
    <row r="14" spans="1:14" ht="21.75" customHeight="1" x14ac:dyDescent="0.45">
      <c r="F14" s="47" t="s">
        <v>191</v>
      </c>
      <c r="G14" s="62">
        <f>COUNTIF(E18:E31,"Not Applicable")</f>
        <v>0</v>
      </c>
    </row>
    <row r="15" spans="1:14" ht="19.5" customHeight="1" x14ac:dyDescent="0.6">
      <c r="A15" s="63" t="s">
        <v>151</v>
      </c>
      <c r="D15" s="64">
        <f>D8</f>
        <v>0</v>
      </c>
      <c r="F15" s="56" t="s">
        <v>192</v>
      </c>
      <c r="G15" s="127" t="str">
        <f>IF(D8="N/A","N/A",IF(D8&gt;=0.99,"Excellence Leader",IF(D8&gt;=0.9,"Gold",IF(D8&gt;=0.8,"Silver",IF(D8&gt;=0.51,"Bronze","Developing")))))</f>
        <v>Developing</v>
      </c>
      <c r="H15" s="97"/>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6" t="s">
        <v>1249</v>
      </c>
      <c r="B18" s="86"/>
      <c r="C18" s="86"/>
      <c r="D18" s="86"/>
      <c r="E18" s="86"/>
      <c r="F18" s="86"/>
      <c r="G18" s="86"/>
      <c r="H18" s="86"/>
      <c r="I18" s="86"/>
      <c r="J18" s="86"/>
      <c r="K18" s="97"/>
    </row>
    <row r="19" spans="1:15" ht="96" customHeight="1" x14ac:dyDescent="0.45">
      <c r="A19" s="67" t="s">
        <v>1250</v>
      </c>
      <c r="B19" s="47" t="s">
        <v>1251</v>
      </c>
      <c r="C19" s="47" t="s">
        <v>1252</v>
      </c>
      <c r="D19" s="68" t="s">
        <v>1253</v>
      </c>
      <c r="E19" s="48" t="s">
        <v>319</v>
      </c>
      <c r="F19" s="69">
        <f>IFERROR(ROUND(G19*VLOOKUP(E19,$M$2:$N$8,2,FALSE())/100,1),0)</f>
        <v>0</v>
      </c>
      <c r="G19" s="48">
        <v>8</v>
      </c>
      <c r="H19" s="47"/>
      <c r="I19" s="47"/>
      <c r="J19" s="70" t="s">
        <v>1254</v>
      </c>
      <c r="K19" s="47"/>
      <c r="O19" s="55">
        <f>IF(E19="Not Applicable",0,G19)</f>
        <v>8</v>
      </c>
    </row>
    <row r="20" spans="1:15" ht="72" customHeight="1" x14ac:dyDescent="0.45">
      <c r="A20" s="67" t="s">
        <v>1255</v>
      </c>
      <c r="B20" s="47" t="s">
        <v>1251</v>
      </c>
      <c r="C20" s="47" t="s">
        <v>1256</v>
      </c>
      <c r="D20" s="68" t="s">
        <v>1257</v>
      </c>
      <c r="E20" s="48" t="s">
        <v>319</v>
      </c>
      <c r="F20" s="69">
        <f>IFERROR(ROUND(G20*VLOOKUP(E20,$M$2:$N$8,2,FALSE())/100,1),0)</f>
        <v>0</v>
      </c>
      <c r="G20" s="48">
        <v>8</v>
      </c>
      <c r="H20" s="47"/>
      <c r="I20" s="47"/>
      <c r="J20" s="70" t="s">
        <v>1258</v>
      </c>
      <c r="K20" s="47"/>
      <c r="O20" s="55">
        <f>IF(E20="Not Applicable",0,G20)</f>
        <v>8</v>
      </c>
    </row>
    <row r="21" spans="1:15" ht="15.75" customHeight="1" x14ac:dyDescent="0.45">
      <c r="A21" s="126" t="s">
        <v>1259</v>
      </c>
      <c r="B21" s="86"/>
      <c r="C21" s="86"/>
      <c r="D21" s="86"/>
      <c r="E21" s="86"/>
      <c r="F21" s="86"/>
      <c r="G21" s="86"/>
      <c r="H21" s="86"/>
      <c r="I21" s="86"/>
      <c r="J21" s="86"/>
      <c r="K21" s="97"/>
    </row>
    <row r="22" spans="1:15" ht="120" customHeight="1" x14ac:dyDescent="0.45">
      <c r="A22" s="67" t="s">
        <v>1260</v>
      </c>
      <c r="B22" s="47" t="s">
        <v>1261</v>
      </c>
      <c r="C22" s="47" t="s">
        <v>1262</v>
      </c>
      <c r="D22" s="68" t="s">
        <v>1263</v>
      </c>
      <c r="E22" s="48" t="s">
        <v>319</v>
      </c>
      <c r="F22" s="69">
        <f>IFERROR(ROUND(G22*VLOOKUP(E22,$M$2:$N$8,2,FALSE())/100,1),0)</f>
        <v>0</v>
      </c>
      <c r="G22" s="48">
        <v>10</v>
      </c>
      <c r="H22" s="47"/>
      <c r="I22" s="47"/>
      <c r="J22" s="70" t="s">
        <v>1264</v>
      </c>
      <c r="K22" s="47"/>
      <c r="O22" s="55">
        <f>IF(E22="Not Applicable",0,G22)</f>
        <v>10</v>
      </c>
    </row>
    <row r="23" spans="1:15" ht="96" customHeight="1" x14ac:dyDescent="0.45">
      <c r="A23" s="67" t="s">
        <v>1265</v>
      </c>
      <c r="B23" s="47" t="s">
        <v>1261</v>
      </c>
      <c r="C23" s="47" t="s">
        <v>1266</v>
      </c>
      <c r="D23" s="68" t="s">
        <v>1267</v>
      </c>
      <c r="E23" s="48" t="s">
        <v>319</v>
      </c>
      <c r="F23" s="69">
        <f>IFERROR(ROUND(G23*VLOOKUP(E23,$M$2:$N$8,2,FALSE())/100,1),0)</f>
        <v>0</v>
      </c>
      <c r="G23" s="48">
        <v>10</v>
      </c>
      <c r="H23" s="47"/>
      <c r="I23" s="47"/>
      <c r="J23" s="70" t="s">
        <v>1268</v>
      </c>
      <c r="K23" s="47"/>
      <c r="O23" s="55">
        <f>IF(E23="Not Applicable",0,G23)</f>
        <v>10</v>
      </c>
    </row>
    <row r="24" spans="1:15" ht="132" customHeight="1" x14ac:dyDescent="0.45">
      <c r="A24" s="67" t="s">
        <v>1269</v>
      </c>
      <c r="B24" s="47" t="s">
        <v>1261</v>
      </c>
      <c r="C24" s="47" t="s">
        <v>1270</v>
      </c>
      <c r="D24" s="68" t="s">
        <v>1271</v>
      </c>
      <c r="E24" s="48" t="s">
        <v>319</v>
      </c>
      <c r="F24" s="69">
        <f>IFERROR(ROUND(G24*VLOOKUP(E24,$M$2:$N$8,2,FALSE())/100,1),0)</f>
        <v>0</v>
      </c>
      <c r="G24" s="48">
        <v>8</v>
      </c>
      <c r="H24" s="47"/>
      <c r="I24" s="47"/>
      <c r="J24" s="70" t="s">
        <v>1272</v>
      </c>
      <c r="K24" s="47"/>
      <c r="O24" s="55">
        <f>IF(E24="Not Applicable",0,G24)</f>
        <v>8</v>
      </c>
    </row>
    <row r="25" spans="1:15" ht="15.75" customHeight="1" x14ac:dyDescent="0.45">
      <c r="A25" s="126" t="s">
        <v>1273</v>
      </c>
      <c r="B25" s="86"/>
      <c r="C25" s="86"/>
      <c r="D25" s="86"/>
      <c r="E25" s="86"/>
      <c r="F25" s="86"/>
      <c r="G25" s="86"/>
      <c r="H25" s="86"/>
      <c r="I25" s="86"/>
      <c r="J25" s="86"/>
      <c r="K25" s="97"/>
    </row>
    <row r="26" spans="1:15" ht="108" customHeight="1" x14ac:dyDescent="0.45">
      <c r="A26" s="67" t="s">
        <v>1274</v>
      </c>
      <c r="B26" s="47" t="s">
        <v>1275</v>
      </c>
      <c r="C26" s="47" t="s">
        <v>1276</v>
      </c>
      <c r="D26" s="68" t="s">
        <v>1277</v>
      </c>
      <c r="E26" s="48" t="s">
        <v>319</v>
      </c>
      <c r="F26" s="69">
        <f>IFERROR(ROUND(G26*VLOOKUP(E26,$M$2:$N$8,2,FALSE())/100,1),0)</f>
        <v>0</v>
      </c>
      <c r="G26" s="48">
        <v>10</v>
      </c>
      <c r="H26" s="47"/>
      <c r="I26" s="47"/>
      <c r="J26" s="70" t="s">
        <v>1278</v>
      </c>
      <c r="K26" s="47"/>
      <c r="O26" s="55">
        <f>IF(E26="Not Applicable",0,G26)</f>
        <v>10</v>
      </c>
    </row>
    <row r="27" spans="1:15" ht="108" customHeight="1" x14ac:dyDescent="0.45">
      <c r="A27" s="67" t="s">
        <v>1279</v>
      </c>
      <c r="B27" s="47" t="s">
        <v>1275</v>
      </c>
      <c r="C27" s="47" t="s">
        <v>1280</v>
      </c>
      <c r="D27" s="68" t="s">
        <v>1281</v>
      </c>
      <c r="E27" s="48" t="s">
        <v>319</v>
      </c>
      <c r="F27" s="69">
        <f>IFERROR(ROUND(G27*VLOOKUP(E27,$M$2:$N$8,2,FALSE())/100,1),0)</f>
        <v>0</v>
      </c>
      <c r="G27" s="48">
        <v>8</v>
      </c>
      <c r="H27" s="47"/>
      <c r="I27" s="47"/>
      <c r="J27" s="70" t="s">
        <v>1282</v>
      </c>
      <c r="K27" s="47"/>
      <c r="O27" s="55">
        <f>IF(E27="Not Applicable",0,G27)</f>
        <v>8</v>
      </c>
    </row>
    <row r="28" spans="1:15" ht="15.75" customHeight="1" x14ac:dyDescent="0.45">
      <c r="A28" s="126" t="s">
        <v>1283</v>
      </c>
      <c r="B28" s="86"/>
      <c r="C28" s="86"/>
      <c r="D28" s="86"/>
      <c r="E28" s="86"/>
      <c r="F28" s="86"/>
      <c r="G28" s="86"/>
      <c r="H28" s="86"/>
      <c r="I28" s="86"/>
      <c r="J28" s="86"/>
      <c r="K28" s="97"/>
    </row>
    <row r="29" spans="1:15" ht="108" customHeight="1" x14ac:dyDescent="0.45">
      <c r="A29" s="67" t="s">
        <v>1284</v>
      </c>
      <c r="B29" s="47" t="s">
        <v>1285</v>
      </c>
      <c r="C29" s="47" t="s">
        <v>1286</v>
      </c>
      <c r="D29" s="68" t="s">
        <v>1287</v>
      </c>
      <c r="E29" s="48" t="s">
        <v>319</v>
      </c>
      <c r="F29" s="69">
        <f>IFERROR(ROUND(G29*VLOOKUP(E29,$M$2:$N$8,2,FALSE())/100,1),0)</f>
        <v>0</v>
      </c>
      <c r="G29" s="48">
        <v>10</v>
      </c>
      <c r="H29" s="47"/>
      <c r="I29" s="47"/>
      <c r="J29" s="70" t="s">
        <v>1288</v>
      </c>
      <c r="K29" s="47"/>
      <c r="O29" s="55">
        <f>IF(E29="Not Applicable",0,G29)</f>
        <v>10</v>
      </c>
    </row>
    <row r="30" spans="1:15" ht="96" customHeight="1" x14ac:dyDescent="0.45">
      <c r="A30" s="67" t="s">
        <v>1289</v>
      </c>
      <c r="B30" s="47" t="s">
        <v>1285</v>
      </c>
      <c r="C30" s="47" t="s">
        <v>1290</v>
      </c>
      <c r="D30" s="68" t="s">
        <v>1291</v>
      </c>
      <c r="E30" s="48" t="s">
        <v>319</v>
      </c>
      <c r="F30" s="69">
        <f>IFERROR(ROUND(G30*VLOOKUP(E30,$M$2:$N$8,2,FALSE())/100,1),0)</f>
        <v>0</v>
      </c>
      <c r="G30" s="48">
        <v>8</v>
      </c>
      <c r="H30" s="47"/>
      <c r="I30" s="47"/>
      <c r="J30" s="70" t="s">
        <v>1292</v>
      </c>
      <c r="K30" s="47"/>
      <c r="O30" s="55">
        <f>IF(E30="Not Applicable",0,G30)</f>
        <v>8</v>
      </c>
    </row>
    <row r="31" spans="1:15" ht="96" customHeight="1" x14ac:dyDescent="0.45">
      <c r="A31" s="67" t="s">
        <v>1293</v>
      </c>
      <c r="B31" s="47" t="s">
        <v>1285</v>
      </c>
      <c r="C31" s="47" t="s">
        <v>1294</v>
      </c>
      <c r="D31" s="68" t="s">
        <v>1295</v>
      </c>
      <c r="E31" s="48" t="s">
        <v>319</v>
      </c>
      <c r="F31" s="69">
        <f>IFERROR(ROUND(G31*VLOOKUP(E31,$M$2:$N$8,2,FALSE())/100,1),0)</f>
        <v>0</v>
      </c>
      <c r="G31" s="48">
        <v>8</v>
      </c>
      <c r="H31" s="47"/>
      <c r="I31" s="47"/>
      <c r="J31" s="70" t="s">
        <v>1296</v>
      </c>
      <c r="K31" s="47"/>
      <c r="O31" s="55">
        <f>IF(E31="Not Applicable",0,G31)</f>
        <v>8</v>
      </c>
    </row>
  </sheetData>
  <mergeCells count="11">
    <mergeCell ref="A25:K25"/>
    <mergeCell ref="A2:K2"/>
    <mergeCell ref="A28:K28"/>
    <mergeCell ref="A1:K1"/>
    <mergeCell ref="B4:C4"/>
    <mergeCell ref="A6:K6"/>
    <mergeCell ref="E4:F4"/>
    <mergeCell ref="H4:K4"/>
    <mergeCell ref="A18:K18"/>
    <mergeCell ref="A21:K21"/>
    <mergeCell ref="G15:H15"/>
  </mergeCells>
  <conditionalFormatting sqref="E18:E31">
    <cfRule type="cellIs" dxfId="71" priority="2" operator="equal">
      <formula>"Best Practice"</formula>
    </cfRule>
    <cfRule type="cellIs" dxfId="70" priority="3" operator="equal">
      <formula>"Verified"</formula>
    </cfRule>
    <cfRule type="cellIs" dxfId="69" priority="4" operator="equal">
      <formula>"Low"</formula>
    </cfRule>
    <cfRule type="cellIs" dxfId="68" priority="5" operator="equal">
      <formula>"Moderate"</formula>
    </cfRule>
    <cfRule type="cellIs" dxfId="67" priority="6" operator="equal">
      <formula>"High"</formula>
    </cfRule>
    <cfRule type="cellIs" dxfId="66" priority="7" operator="equal">
      <formula>"Very High"</formula>
    </cfRule>
    <cfRule type="cellIs" dxfId="65" priority="8" operator="equal">
      <formula>"Not Applicable"</formula>
    </cfRule>
  </conditionalFormatting>
  <conditionalFormatting sqref="G15:H15">
    <cfRule type="cellIs" dxfId="64" priority="9" operator="equal">
      <formula>"Excellence Leader"</formula>
    </cfRule>
    <cfRule type="cellIs" dxfId="63" priority="10" operator="equal">
      <formula>"Gold"</formula>
    </cfRule>
    <cfRule type="cellIs" dxfId="62" priority="11" operator="equal">
      <formula>"Silver"</formula>
    </cfRule>
    <cfRule type="cellIs" dxfId="61" priority="12" operator="equal">
      <formula>"Bronze"</formula>
    </cfRule>
    <cfRule type="cellIs" dxfId="60" priority="13" operator="equal">
      <formula>"Developing"</formula>
    </cfRule>
  </conditionalFormatting>
  <dataValidations count="1">
    <dataValidation type="list" sqref="E19:E20 E22:E24 E26:E27 E29:E31" xr:uid="{00000000-0002-0000-10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1"/>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9" t="s">
        <v>1297</v>
      </c>
      <c r="B1" s="86"/>
      <c r="C1" s="86"/>
      <c r="D1" s="86"/>
      <c r="E1" s="86"/>
      <c r="F1" s="86"/>
      <c r="G1" s="86"/>
      <c r="H1" s="86"/>
      <c r="I1" s="86"/>
      <c r="J1" s="86"/>
      <c r="K1" s="97"/>
      <c r="M1" s="54" t="s">
        <v>90</v>
      </c>
      <c r="N1" s="54" t="s">
        <v>185</v>
      </c>
    </row>
    <row r="2" spans="1:14" ht="15.75" customHeight="1" x14ac:dyDescent="0.45">
      <c r="A2" s="128" t="s">
        <v>1298</v>
      </c>
      <c r="B2" s="86"/>
      <c r="C2" s="86"/>
      <c r="D2" s="86"/>
      <c r="E2" s="86"/>
      <c r="F2" s="86"/>
      <c r="G2" s="86"/>
      <c r="H2" s="86"/>
      <c r="I2" s="86"/>
      <c r="J2" s="86"/>
      <c r="K2" s="97"/>
      <c r="M2" s="55" t="s">
        <v>93</v>
      </c>
      <c r="N2" s="55">
        <v>100</v>
      </c>
    </row>
    <row r="3" spans="1:14" ht="15" customHeight="1" x14ac:dyDescent="0.45">
      <c r="M3" s="55" t="s">
        <v>94</v>
      </c>
      <c r="N3" s="55">
        <v>100</v>
      </c>
    </row>
    <row r="4" spans="1:14" ht="18" customHeight="1" x14ac:dyDescent="0.45">
      <c r="A4" s="56" t="s">
        <v>84</v>
      </c>
      <c r="B4" s="125" t="str">
        <f>'Pre-Audit Scoping'!D5</f>
        <v xml:space="preserve">Test </v>
      </c>
      <c r="C4" s="97"/>
      <c r="D4" s="56" t="s">
        <v>85</v>
      </c>
      <c r="E4" s="125" t="str">
        <f>'Pre-Audit Scoping'!D10</f>
        <v>July 7-9 2026</v>
      </c>
      <c r="F4" s="97"/>
      <c r="G4" s="56" t="s">
        <v>86</v>
      </c>
      <c r="H4" s="125" t="str">
        <f>TRIM('Pre-Audit Scoping'!D11)&amp;IF(TRIM('Pre-Audit Scoping'!D12)&lt;&gt;"",", "&amp;TRIM('Pre-Audit Scoping'!D12),"")</f>
        <v>Sara Wallon, Gabriel Wallon</v>
      </c>
      <c r="I4" s="86"/>
      <c r="J4" s="86"/>
      <c r="K4" s="97"/>
      <c r="M4" s="55" t="s">
        <v>96</v>
      </c>
      <c r="N4" s="55">
        <v>85</v>
      </c>
    </row>
    <row r="5" spans="1:14" ht="15" customHeight="1" x14ac:dyDescent="0.45">
      <c r="M5" s="55" t="s">
        <v>97</v>
      </c>
      <c r="N5" s="55">
        <v>70</v>
      </c>
    </row>
    <row r="6" spans="1:14" ht="19.5" customHeight="1" x14ac:dyDescent="0.45">
      <c r="A6" s="124" t="s">
        <v>187</v>
      </c>
      <c r="B6" s="86"/>
      <c r="C6" s="86"/>
      <c r="D6" s="86"/>
      <c r="E6" s="86"/>
      <c r="F6" s="86"/>
      <c r="G6" s="86"/>
      <c r="H6" s="86"/>
      <c r="I6" s="86"/>
      <c r="J6" s="86"/>
      <c r="K6" s="97"/>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SUM(F18:F31)</f>
        <v>0</v>
      </c>
      <c r="C8" s="60">
        <f>SUM(O18:O31)</f>
        <v>84</v>
      </c>
      <c r="D8" s="61">
        <f>IF(C8&lt;&gt;0,B8/C8,"N/A")</f>
        <v>0</v>
      </c>
      <c r="F8" s="47" t="s">
        <v>93</v>
      </c>
      <c r="G8" s="62">
        <f>COUNTIF(E18:E31,"Best Practice")</f>
        <v>0</v>
      </c>
      <c r="M8" s="55" t="s">
        <v>191</v>
      </c>
      <c r="N8" s="55">
        <v>0</v>
      </c>
    </row>
    <row r="9" spans="1:14" ht="15" customHeight="1" x14ac:dyDescent="0.45">
      <c r="F9" s="47" t="s">
        <v>94</v>
      </c>
      <c r="G9" s="62">
        <f>COUNTIF(E18:E31,"Verified")</f>
        <v>0</v>
      </c>
    </row>
    <row r="10" spans="1:14" ht="15" customHeight="1" x14ac:dyDescent="0.45">
      <c r="F10" s="47" t="s">
        <v>96</v>
      </c>
      <c r="G10" s="62">
        <f>COUNTIF(E18:E31,"Low")</f>
        <v>0</v>
      </c>
    </row>
    <row r="11" spans="1:14" ht="15" customHeight="1" x14ac:dyDescent="0.45">
      <c r="F11" s="47" t="s">
        <v>97</v>
      </c>
      <c r="G11" s="62">
        <f>COUNTIF(E18:E31,"Moderate")</f>
        <v>0</v>
      </c>
    </row>
    <row r="12" spans="1:14" ht="15" customHeight="1" x14ac:dyDescent="0.45">
      <c r="F12" s="47" t="s">
        <v>98</v>
      </c>
      <c r="G12" s="62">
        <f>COUNTIF(E18:E31,"High")</f>
        <v>0</v>
      </c>
    </row>
    <row r="13" spans="1:14" ht="15" customHeight="1" x14ac:dyDescent="0.45">
      <c r="F13" s="47" t="s">
        <v>99</v>
      </c>
      <c r="G13" s="62">
        <f>COUNTIF(E18:E31,"Very High")</f>
        <v>0</v>
      </c>
    </row>
    <row r="14" spans="1:14" ht="21.75" customHeight="1" x14ac:dyDescent="0.45">
      <c r="F14" s="47" t="s">
        <v>191</v>
      </c>
      <c r="G14" s="62">
        <f>COUNTIF(E18:E31,"Not Applicable")</f>
        <v>0</v>
      </c>
    </row>
    <row r="15" spans="1:14" ht="19.5" customHeight="1" x14ac:dyDescent="0.6">
      <c r="A15" s="63" t="s">
        <v>151</v>
      </c>
      <c r="D15" s="64">
        <f>D8</f>
        <v>0</v>
      </c>
      <c r="F15" s="56" t="s">
        <v>192</v>
      </c>
      <c r="G15" s="127" t="str">
        <f>IF(D8="N/A","N/A",IF(D8&gt;=0.99,"Excellence Leader",IF(D8&gt;=0.9,"Gold",IF(D8&gt;=0.8,"Silver",IF(D8&gt;=0.51,"Bronze","Developing")))))</f>
        <v>Developing</v>
      </c>
      <c r="H15" s="97"/>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6" t="s">
        <v>1299</v>
      </c>
      <c r="B18" s="86"/>
      <c r="C18" s="86"/>
      <c r="D18" s="86"/>
      <c r="E18" s="86"/>
      <c r="F18" s="86"/>
      <c r="G18" s="86"/>
      <c r="H18" s="86"/>
      <c r="I18" s="86"/>
      <c r="J18" s="86"/>
      <c r="K18" s="97"/>
    </row>
    <row r="19" spans="1:15" ht="96" customHeight="1" x14ac:dyDescent="0.45">
      <c r="A19" s="67" t="s">
        <v>1300</v>
      </c>
      <c r="B19" s="47" t="s">
        <v>1301</v>
      </c>
      <c r="C19" s="47" t="s">
        <v>1302</v>
      </c>
      <c r="D19" s="68" t="s">
        <v>1303</v>
      </c>
      <c r="E19" s="48" t="s">
        <v>319</v>
      </c>
      <c r="F19" s="69">
        <f>IFERROR(ROUND(G19*VLOOKUP(E19,$M$2:$N$8,2,FALSE())/100,1),0)</f>
        <v>0</v>
      </c>
      <c r="G19" s="48">
        <v>8</v>
      </c>
      <c r="H19" s="47"/>
      <c r="I19" s="47"/>
      <c r="J19" s="70" t="s">
        <v>1304</v>
      </c>
      <c r="K19" s="47"/>
      <c r="O19" s="55">
        <f>IF(E19="Not Applicable",0,G19)</f>
        <v>8</v>
      </c>
    </row>
    <row r="20" spans="1:15" ht="96" customHeight="1" x14ac:dyDescent="0.45">
      <c r="A20" s="67" t="s">
        <v>1305</v>
      </c>
      <c r="B20" s="47" t="s">
        <v>1301</v>
      </c>
      <c r="C20" s="47" t="s">
        <v>1306</v>
      </c>
      <c r="D20" s="68" t="s">
        <v>1307</v>
      </c>
      <c r="E20" s="48" t="s">
        <v>319</v>
      </c>
      <c r="F20" s="69">
        <f>IFERROR(ROUND(G20*VLOOKUP(E20,$M$2:$N$8,2,FALSE())/100,1),0)</f>
        <v>0</v>
      </c>
      <c r="G20" s="48">
        <v>10</v>
      </c>
      <c r="H20" s="47"/>
      <c r="I20" s="47"/>
      <c r="J20" s="70" t="s">
        <v>1308</v>
      </c>
      <c r="K20" s="47"/>
      <c r="O20" s="55">
        <f>IF(E20="Not Applicable",0,G20)</f>
        <v>10</v>
      </c>
    </row>
    <row r="21" spans="1:15" ht="84" customHeight="1" x14ac:dyDescent="0.45">
      <c r="A21" s="67" t="s">
        <v>1309</v>
      </c>
      <c r="B21" s="47" t="s">
        <v>1301</v>
      </c>
      <c r="C21" s="47" t="s">
        <v>1310</v>
      </c>
      <c r="D21" s="68" t="s">
        <v>1311</v>
      </c>
      <c r="E21" s="48" t="s">
        <v>319</v>
      </c>
      <c r="F21" s="69">
        <f>IFERROR(ROUND(G21*VLOOKUP(E21,$M$2:$N$8,2,FALSE())/100,1),0)</f>
        <v>0</v>
      </c>
      <c r="G21" s="48">
        <v>6</v>
      </c>
      <c r="H21" s="47"/>
      <c r="I21" s="47"/>
      <c r="J21" s="70" t="s">
        <v>1308</v>
      </c>
      <c r="K21" s="47"/>
      <c r="O21" s="55">
        <f>IF(E21="Not Applicable",0,G21)</f>
        <v>6</v>
      </c>
    </row>
    <row r="22" spans="1:15" ht="84" customHeight="1" x14ac:dyDescent="0.45">
      <c r="A22" s="67" t="s">
        <v>1312</v>
      </c>
      <c r="B22" s="47" t="s">
        <v>1301</v>
      </c>
      <c r="C22" s="47" t="s">
        <v>1313</v>
      </c>
      <c r="D22" s="68" t="s">
        <v>1314</v>
      </c>
      <c r="E22" s="48" t="s">
        <v>319</v>
      </c>
      <c r="F22" s="69">
        <f>IFERROR(ROUND(G22*VLOOKUP(E22,$M$2:$N$8,2,FALSE())/100,1),0)</f>
        <v>0</v>
      </c>
      <c r="G22" s="48">
        <v>6</v>
      </c>
      <c r="H22" s="47"/>
      <c r="I22" s="47"/>
      <c r="J22" s="70" t="s">
        <v>1315</v>
      </c>
      <c r="K22" s="47"/>
      <c r="O22" s="55">
        <f>IF(E22="Not Applicable",0,G22)</f>
        <v>6</v>
      </c>
    </row>
    <row r="23" spans="1:15" ht="15.75" customHeight="1" x14ac:dyDescent="0.45">
      <c r="A23" s="126" t="s">
        <v>1316</v>
      </c>
      <c r="B23" s="86"/>
      <c r="C23" s="86"/>
      <c r="D23" s="86"/>
      <c r="E23" s="86"/>
      <c r="F23" s="86"/>
      <c r="G23" s="86"/>
      <c r="H23" s="86"/>
      <c r="I23" s="86"/>
      <c r="J23" s="86"/>
      <c r="K23" s="97"/>
    </row>
    <row r="24" spans="1:15" ht="84" customHeight="1" x14ac:dyDescent="0.45">
      <c r="A24" s="67" t="s">
        <v>1317</v>
      </c>
      <c r="B24" s="47" t="s">
        <v>1318</v>
      </c>
      <c r="C24" s="47" t="s">
        <v>1319</v>
      </c>
      <c r="D24" s="68" t="s">
        <v>1320</v>
      </c>
      <c r="E24" s="48" t="s">
        <v>319</v>
      </c>
      <c r="F24" s="69">
        <f>IFERROR(ROUND(G24*VLOOKUP(E24,$M$2:$N$8,2,FALSE())/100,1),0)</f>
        <v>0</v>
      </c>
      <c r="G24" s="48">
        <v>10</v>
      </c>
      <c r="H24" s="47"/>
      <c r="I24" s="47"/>
      <c r="J24" s="70" t="s">
        <v>1321</v>
      </c>
      <c r="K24" s="47"/>
      <c r="O24" s="55">
        <f>IF(E24="Not Applicable",0,G24)</f>
        <v>10</v>
      </c>
    </row>
    <row r="25" spans="1:15" ht="84" customHeight="1" x14ac:dyDescent="0.45">
      <c r="A25" s="67" t="s">
        <v>1322</v>
      </c>
      <c r="B25" s="47" t="s">
        <v>1318</v>
      </c>
      <c r="C25" s="47" t="s">
        <v>1323</v>
      </c>
      <c r="D25" s="68" t="s">
        <v>1324</v>
      </c>
      <c r="E25" s="48" t="s">
        <v>319</v>
      </c>
      <c r="F25" s="69">
        <f>IFERROR(ROUND(G25*VLOOKUP(E25,$M$2:$N$8,2,FALSE())/100,1),0)</f>
        <v>0</v>
      </c>
      <c r="G25" s="48">
        <v>8</v>
      </c>
      <c r="H25" s="47"/>
      <c r="I25" s="47"/>
      <c r="J25" s="70" t="s">
        <v>1325</v>
      </c>
      <c r="K25" s="47"/>
      <c r="O25" s="55">
        <f>IF(E25="Not Applicable",0,G25)</f>
        <v>8</v>
      </c>
    </row>
    <row r="26" spans="1:15" ht="96" customHeight="1" x14ac:dyDescent="0.45">
      <c r="A26" s="67" t="s">
        <v>1326</v>
      </c>
      <c r="B26" s="47" t="s">
        <v>1318</v>
      </c>
      <c r="C26" s="47" t="s">
        <v>1327</v>
      </c>
      <c r="D26" s="68" t="s">
        <v>1328</v>
      </c>
      <c r="E26" s="48" t="s">
        <v>319</v>
      </c>
      <c r="F26" s="69">
        <f>IFERROR(ROUND(G26*VLOOKUP(E26,$M$2:$N$8,2,FALSE())/100,1),0)</f>
        <v>0</v>
      </c>
      <c r="G26" s="48">
        <v>8</v>
      </c>
      <c r="H26" s="47"/>
      <c r="I26" s="47"/>
      <c r="J26" s="70" t="s">
        <v>1329</v>
      </c>
      <c r="K26" s="47"/>
      <c r="O26" s="55">
        <f>IF(E26="Not Applicable",0,G26)</f>
        <v>8</v>
      </c>
    </row>
    <row r="27" spans="1:15" ht="72" customHeight="1" x14ac:dyDescent="0.45">
      <c r="A27" s="67" t="s">
        <v>1330</v>
      </c>
      <c r="B27" s="47" t="s">
        <v>1318</v>
      </c>
      <c r="C27" s="47" t="s">
        <v>1331</v>
      </c>
      <c r="D27" s="68" t="s">
        <v>1332</v>
      </c>
      <c r="E27" s="48" t="s">
        <v>319</v>
      </c>
      <c r="F27" s="69">
        <f>IFERROR(ROUND(G27*VLOOKUP(E27,$M$2:$N$8,2,FALSE())/100,1),0)</f>
        <v>0</v>
      </c>
      <c r="G27" s="48">
        <v>6</v>
      </c>
      <c r="H27" s="47"/>
      <c r="I27" s="47"/>
      <c r="J27" s="70" t="s">
        <v>1333</v>
      </c>
      <c r="K27" s="47"/>
      <c r="O27" s="55">
        <f>IF(E27="Not Applicable",0,G27)</f>
        <v>6</v>
      </c>
    </row>
    <row r="28" spans="1:15" ht="15.75" customHeight="1" x14ac:dyDescent="0.45">
      <c r="A28" s="126" t="s">
        <v>1334</v>
      </c>
      <c r="B28" s="86"/>
      <c r="C28" s="86"/>
      <c r="D28" s="86"/>
      <c r="E28" s="86"/>
      <c r="F28" s="86"/>
      <c r="G28" s="86"/>
      <c r="H28" s="86"/>
      <c r="I28" s="86"/>
      <c r="J28" s="86"/>
      <c r="K28" s="97"/>
    </row>
    <row r="29" spans="1:15" ht="84" customHeight="1" x14ac:dyDescent="0.45">
      <c r="A29" s="67" t="s">
        <v>1335</v>
      </c>
      <c r="B29" s="47" t="s">
        <v>1336</v>
      </c>
      <c r="C29" s="47" t="s">
        <v>1337</v>
      </c>
      <c r="D29" s="68" t="s">
        <v>1338</v>
      </c>
      <c r="E29" s="48" t="s">
        <v>319</v>
      </c>
      <c r="F29" s="69">
        <f>IFERROR(ROUND(G29*VLOOKUP(E29,$M$2:$N$8,2,FALSE())/100,1),0)</f>
        <v>0</v>
      </c>
      <c r="G29" s="48">
        <v>8</v>
      </c>
      <c r="H29" s="47"/>
      <c r="I29" s="47"/>
      <c r="J29" s="70" t="s">
        <v>1339</v>
      </c>
      <c r="K29" s="47"/>
      <c r="O29" s="55">
        <f>IF(E29="Not Applicable",0,G29)</f>
        <v>8</v>
      </c>
    </row>
    <row r="30" spans="1:15" ht="96" customHeight="1" x14ac:dyDescent="0.45">
      <c r="A30" s="67" t="s">
        <v>1340</v>
      </c>
      <c r="B30" s="47" t="s">
        <v>1336</v>
      </c>
      <c r="C30" s="47" t="s">
        <v>1341</v>
      </c>
      <c r="D30" s="68" t="s">
        <v>1342</v>
      </c>
      <c r="E30" s="48" t="s">
        <v>319</v>
      </c>
      <c r="F30" s="69">
        <f>IFERROR(ROUND(G30*VLOOKUP(E30,$M$2:$N$8,2,FALSE())/100,1),0)</f>
        <v>0</v>
      </c>
      <c r="G30" s="48">
        <v>8</v>
      </c>
      <c r="H30" s="47"/>
      <c r="I30" s="47"/>
      <c r="J30" s="70" t="s">
        <v>1343</v>
      </c>
      <c r="K30" s="47"/>
      <c r="O30" s="55">
        <f>IF(E30="Not Applicable",0,G30)</f>
        <v>8</v>
      </c>
    </row>
    <row r="31" spans="1:15" ht="72" customHeight="1" x14ac:dyDescent="0.45">
      <c r="A31" s="67" t="s">
        <v>1344</v>
      </c>
      <c r="B31" s="47" t="s">
        <v>1336</v>
      </c>
      <c r="C31" s="47" t="s">
        <v>1345</v>
      </c>
      <c r="D31" s="68" t="s">
        <v>1346</v>
      </c>
      <c r="E31" s="48" t="s">
        <v>319</v>
      </c>
      <c r="F31" s="69">
        <f>IFERROR(ROUND(G31*VLOOKUP(E31,$M$2:$N$8,2,FALSE())/100,1),0)</f>
        <v>0</v>
      </c>
      <c r="G31" s="48">
        <v>6</v>
      </c>
      <c r="H31" s="47"/>
      <c r="I31" s="47"/>
      <c r="J31" s="70" t="s">
        <v>1347</v>
      </c>
      <c r="K31" s="47"/>
      <c r="O31" s="55">
        <f>IF(E31="Not Applicable",0,G31)</f>
        <v>6</v>
      </c>
    </row>
  </sheetData>
  <mergeCells count="10">
    <mergeCell ref="A2:K2"/>
    <mergeCell ref="A28:K28"/>
    <mergeCell ref="A1:K1"/>
    <mergeCell ref="B4:C4"/>
    <mergeCell ref="A6:K6"/>
    <mergeCell ref="E4:F4"/>
    <mergeCell ref="H4:K4"/>
    <mergeCell ref="A18:K18"/>
    <mergeCell ref="A23:K23"/>
    <mergeCell ref="G15:H15"/>
  </mergeCells>
  <conditionalFormatting sqref="E18:E31">
    <cfRule type="cellIs" dxfId="59" priority="2" operator="equal">
      <formula>"Best Practice"</formula>
    </cfRule>
    <cfRule type="cellIs" dxfId="58" priority="3" operator="equal">
      <formula>"Verified"</formula>
    </cfRule>
    <cfRule type="cellIs" dxfId="57" priority="4" operator="equal">
      <formula>"Low"</formula>
    </cfRule>
    <cfRule type="cellIs" dxfId="56" priority="5" operator="equal">
      <formula>"Moderate"</formula>
    </cfRule>
    <cfRule type="cellIs" dxfId="55" priority="6" operator="equal">
      <formula>"High"</formula>
    </cfRule>
    <cfRule type="cellIs" dxfId="54" priority="7" operator="equal">
      <formula>"Very High"</formula>
    </cfRule>
    <cfRule type="cellIs" dxfId="53" priority="8" operator="equal">
      <formula>"Not Applicable"</formula>
    </cfRule>
  </conditionalFormatting>
  <conditionalFormatting sqref="G15:H15">
    <cfRule type="cellIs" dxfId="52" priority="9" operator="equal">
      <formula>"Excellence Leader"</formula>
    </cfRule>
    <cfRule type="cellIs" dxfId="51" priority="10" operator="equal">
      <formula>"Gold"</formula>
    </cfRule>
    <cfRule type="cellIs" dxfId="50" priority="11" operator="equal">
      <formula>"Silver"</formula>
    </cfRule>
    <cfRule type="cellIs" dxfId="49" priority="12" operator="equal">
      <formula>"Bronze"</formula>
    </cfRule>
    <cfRule type="cellIs" dxfId="48" priority="13" operator="equal">
      <formula>"Developing"</formula>
    </cfRule>
  </conditionalFormatting>
  <dataValidations count="1">
    <dataValidation type="list" sqref="E19:E22 E24:E27 E29:E31" xr:uid="{00000000-0002-0000-11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29"/>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9" t="s">
        <v>1348</v>
      </c>
      <c r="B1" s="86"/>
      <c r="C1" s="86"/>
      <c r="D1" s="86"/>
      <c r="E1" s="86"/>
      <c r="F1" s="86"/>
      <c r="G1" s="86"/>
      <c r="H1" s="86"/>
      <c r="I1" s="86"/>
      <c r="J1" s="86"/>
      <c r="K1" s="97"/>
      <c r="M1" s="54" t="s">
        <v>90</v>
      </c>
      <c r="N1" s="54" t="s">
        <v>185</v>
      </c>
    </row>
    <row r="2" spans="1:14" ht="15.75" customHeight="1" x14ac:dyDescent="0.45">
      <c r="A2" s="128" t="s">
        <v>1349</v>
      </c>
      <c r="B2" s="86"/>
      <c r="C2" s="86"/>
      <c r="D2" s="86"/>
      <c r="E2" s="86"/>
      <c r="F2" s="86"/>
      <c r="G2" s="86"/>
      <c r="H2" s="86"/>
      <c r="I2" s="86"/>
      <c r="J2" s="86"/>
      <c r="K2" s="97"/>
      <c r="M2" s="55" t="s">
        <v>93</v>
      </c>
      <c r="N2" s="55">
        <v>100</v>
      </c>
    </row>
    <row r="3" spans="1:14" ht="15" customHeight="1" x14ac:dyDescent="0.45">
      <c r="M3" s="55" t="s">
        <v>94</v>
      </c>
      <c r="N3" s="55">
        <v>100</v>
      </c>
    </row>
    <row r="4" spans="1:14" ht="18" customHeight="1" x14ac:dyDescent="0.45">
      <c r="A4" s="56" t="s">
        <v>84</v>
      </c>
      <c r="B4" s="125" t="str">
        <f>'Pre-Audit Scoping'!D5</f>
        <v xml:space="preserve">Test </v>
      </c>
      <c r="C4" s="97"/>
      <c r="D4" s="56" t="s">
        <v>85</v>
      </c>
      <c r="E4" s="125" t="str">
        <f>'Pre-Audit Scoping'!D10</f>
        <v>July 7-9 2026</v>
      </c>
      <c r="F4" s="97"/>
      <c r="G4" s="56" t="s">
        <v>86</v>
      </c>
      <c r="H4" s="125" t="str">
        <f>TRIM('Pre-Audit Scoping'!D11)&amp;IF(TRIM('Pre-Audit Scoping'!D12)&lt;&gt;"",", "&amp;TRIM('Pre-Audit Scoping'!D12),"")</f>
        <v>Sara Wallon, Gabriel Wallon</v>
      </c>
      <c r="I4" s="86"/>
      <c r="J4" s="86"/>
      <c r="K4" s="97"/>
      <c r="M4" s="55" t="s">
        <v>96</v>
      </c>
      <c r="N4" s="55">
        <v>85</v>
      </c>
    </row>
    <row r="5" spans="1:14" ht="15" customHeight="1" x14ac:dyDescent="0.45">
      <c r="M5" s="55" t="s">
        <v>97</v>
      </c>
      <c r="N5" s="55">
        <v>70</v>
      </c>
    </row>
    <row r="6" spans="1:14" ht="19.5" customHeight="1" x14ac:dyDescent="0.45">
      <c r="A6" s="124" t="s">
        <v>187</v>
      </c>
      <c r="B6" s="86"/>
      <c r="C6" s="86"/>
      <c r="D6" s="86"/>
      <c r="E6" s="86"/>
      <c r="F6" s="86"/>
      <c r="G6" s="86"/>
      <c r="H6" s="86"/>
      <c r="I6" s="86"/>
      <c r="J6" s="86"/>
      <c r="K6" s="97"/>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SUM(F18:F29)</f>
        <v>0</v>
      </c>
      <c r="C8" s="60">
        <f>SUM(O18:O29)</f>
        <v>80</v>
      </c>
      <c r="D8" s="61">
        <f>IF(C8&lt;&gt;0,B8/C8,"N/A")</f>
        <v>0</v>
      </c>
      <c r="F8" s="47" t="s">
        <v>93</v>
      </c>
      <c r="G8" s="62">
        <f>COUNTIF(E18:E29,"Best Practice")</f>
        <v>0</v>
      </c>
      <c r="M8" s="55" t="s">
        <v>191</v>
      </c>
      <c r="N8" s="55">
        <v>0</v>
      </c>
    </row>
    <row r="9" spans="1:14" ht="15" customHeight="1" x14ac:dyDescent="0.45">
      <c r="F9" s="47" t="s">
        <v>94</v>
      </c>
      <c r="G9" s="62">
        <f>COUNTIF(E18:E29,"Verified")</f>
        <v>0</v>
      </c>
    </row>
    <row r="10" spans="1:14" ht="15" customHeight="1" x14ac:dyDescent="0.45">
      <c r="F10" s="47" t="s">
        <v>96</v>
      </c>
      <c r="G10" s="62">
        <f>COUNTIF(E18:E29,"Low")</f>
        <v>0</v>
      </c>
    </row>
    <row r="11" spans="1:14" ht="15" customHeight="1" x14ac:dyDescent="0.45">
      <c r="F11" s="47" t="s">
        <v>97</v>
      </c>
      <c r="G11" s="62">
        <f>COUNTIF(E18:E29,"Moderate")</f>
        <v>0</v>
      </c>
    </row>
    <row r="12" spans="1:14" ht="15" customHeight="1" x14ac:dyDescent="0.45">
      <c r="F12" s="47" t="s">
        <v>98</v>
      </c>
      <c r="G12" s="62">
        <f>COUNTIF(E18:E29,"High")</f>
        <v>0</v>
      </c>
    </row>
    <row r="13" spans="1:14" ht="15" customHeight="1" x14ac:dyDescent="0.45">
      <c r="F13" s="47" t="s">
        <v>99</v>
      </c>
      <c r="G13" s="62">
        <f>COUNTIF(E18:E29,"Very High")</f>
        <v>0</v>
      </c>
    </row>
    <row r="14" spans="1:14" ht="21.75" customHeight="1" x14ac:dyDescent="0.45">
      <c r="F14" s="47" t="s">
        <v>191</v>
      </c>
      <c r="G14" s="62">
        <f>COUNTIF(E18:E29,"Not Applicable")</f>
        <v>0</v>
      </c>
    </row>
    <row r="15" spans="1:14" ht="19.5" customHeight="1" x14ac:dyDescent="0.6">
      <c r="A15" s="63" t="s">
        <v>151</v>
      </c>
      <c r="D15" s="64">
        <f>D8</f>
        <v>0</v>
      </c>
      <c r="F15" s="56" t="s">
        <v>192</v>
      </c>
      <c r="G15" s="127" t="str">
        <f>IF(D8="N/A","N/A",IF(D8&gt;=0.99,"Excellence Leader",IF(D8&gt;=0.9,"Gold",IF(D8&gt;=0.8,"Silver",IF(D8&gt;=0.51,"Bronze","Developing")))))</f>
        <v>Developing</v>
      </c>
      <c r="H15" s="97"/>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6" t="s">
        <v>1350</v>
      </c>
      <c r="B18" s="86"/>
      <c r="C18" s="86"/>
      <c r="D18" s="86"/>
      <c r="E18" s="86"/>
      <c r="F18" s="86"/>
      <c r="G18" s="86"/>
      <c r="H18" s="86"/>
      <c r="I18" s="86"/>
      <c r="J18" s="86"/>
      <c r="K18" s="97"/>
    </row>
    <row r="19" spans="1:15" ht="84" customHeight="1" x14ac:dyDescent="0.45">
      <c r="A19" s="67" t="s">
        <v>1351</v>
      </c>
      <c r="B19" s="47" t="s">
        <v>1352</v>
      </c>
      <c r="C19" s="47" t="s">
        <v>1353</v>
      </c>
      <c r="D19" s="68" t="s">
        <v>1354</v>
      </c>
      <c r="E19" s="48" t="s">
        <v>319</v>
      </c>
      <c r="F19" s="69">
        <f>IFERROR(ROUND(G19*VLOOKUP(E19,$M$2:$N$8,2,FALSE())/100,1),0)</f>
        <v>0</v>
      </c>
      <c r="G19" s="48">
        <v>8</v>
      </c>
      <c r="H19" s="47"/>
      <c r="I19" s="47"/>
      <c r="J19" s="70" t="s">
        <v>1355</v>
      </c>
      <c r="K19" s="47"/>
      <c r="O19" s="55">
        <f>IF(E19="Not Applicable",0,G19)</f>
        <v>8</v>
      </c>
    </row>
    <row r="20" spans="1:15" ht="96" customHeight="1" x14ac:dyDescent="0.45">
      <c r="A20" s="67" t="s">
        <v>1356</v>
      </c>
      <c r="B20" s="47" t="s">
        <v>1352</v>
      </c>
      <c r="C20" s="47" t="s">
        <v>1357</v>
      </c>
      <c r="D20" s="68" t="s">
        <v>1358</v>
      </c>
      <c r="E20" s="48" t="s">
        <v>319</v>
      </c>
      <c r="F20" s="69">
        <f>IFERROR(ROUND(G20*VLOOKUP(E20,$M$2:$N$8,2,FALSE())/100,1),0)</f>
        <v>0</v>
      </c>
      <c r="G20" s="48">
        <v>8</v>
      </c>
      <c r="H20" s="47"/>
      <c r="I20" s="47"/>
      <c r="J20" s="70" t="s">
        <v>1359</v>
      </c>
      <c r="K20" s="47"/>
      <c r="O20" s="55">
        <f>IF(E20="Not Applicable",0,G20)</f>
        <v>8</v>
      </c>
    </row>
    <row r="21" spans="1:15" ht="72" customHeight="1" x14ac:dyDescent="0.45">
      <c r="A21" s="67" t="s">
        <v>1360</v>
      </c>
      <c r="B21" s="47" t="s">
        <v>1352</v>
      </c>
      <c r="C21" s="47" t="s">
        <v>1361</v>
      </c>
      <c r="D21" s="68" t="s">
        <v>1362</v>
      </c>
      <c r="E21" s="48" t="s">
        <v>319</v>
      </c>
      <c r="F21" s="69">
        <f>IFERROR(ROUND(G21*VLOOKUP(E21,$M$2:$N$8,2,FALSE())/100,1),0)</f>
        <v>0</v>
      </c>
      <c r="G21" s="48">
        <v>6</v>
      </c>
      <c r="H21" s="47"/>
      <c r="I21" s="47"/>
      <c r="J21" s="70" t="s">
        <v>1363</v>
      </c>
      <c r="K21" s="47"/>
      <c r="O21" s="55">
        <f>IF(E21="Not Applicable",0,G21)</f>
        <v>6</v>
      </c>
    </row>
    <row r="22" spans="1:15" ht="15.75" customHeight="1" x14ac:dyDescent="0.45">
      <c r="A22" s="126" t="s">
        <v>1364</v>
      </c>
      <c r="B22" s="86"/>
      <c r="C22" s="86"/>
      <c r="D22" s="86"/>
      <c r="E22" s="86"/>
      <c r="F22" s="86"/>
      <c r="G22" s="86"/>
      <c r="H22" s="86"/>
      <c r="I22" s="86"/>
      <c r="J22" s="86"/>
      <c r="K22" s="97"/>
    </row>
    <row r="23" spans="1:15" ht="84" customHeight="1" x14ac:dyDescent="0.45">
      <c r="A23" s="67" t="s">
        <v>1365</v>
      </c>
      <c r="B23" s="47" t="s">
        <v>1366</v>
      </c>
      <c r="C23" s="47" t="s">
        <v>1367</v>
      </c>
      <c r="D23" s="68" t="s">
        <v>1368</v>
      </c>
      <c r="E23" s="48" t="s">
        <v>319</v>
      </c>
      <c r="F23" s="69">
        <f t="shared" ref="F23:F29" si="0">IFERROR(ROUND(G23*VLOOKUP(E23,$M$2:$N$8,2,FALSE())/100,1),0)</f>
        <v>0</v>
      </c>
      <c r="G23" s="48">
        <v>10</v>
      </c>
      <c r="H23" s="47"/>
      <c r="I23" s="47"/>
      <c r="J23" s="70" t="s">
        <v>1369</v>
      </c>
      <c r="K23" s="47"/>
      <c r="O23" s="55">
        <f t="shared" ref="O23:O29" si="1">IF(E23="Not Applicable",0,G23)</f>
        <v>10</v>
      </c>
    </row>
    <row r="24" spans="1:15" ht="96" customHeight="1" x14ac:dyDescent="0.45">
      <c r="A24" s="67" t="s">
        <v>1370</v>
      </c>
      <c r="B24" s="47" t="s">
        <v>1366</v>
      </c>
      <c r="C24" s="47" t="s">
        <v>1371</v>
      </c>
      <c r="D24" s="68" t="s">
        <v>1372</v>
      </c>
      <c r="E24" s="48" t="s">
        <v>319</v>
      </c>
      <c r="F24" s="69">
        <f t="shared" si="0"/>
        <v>0</v>
      </c>
      <c r="G24" s="48">
        <v>8</v>
      </c>
      <c r="H24" s="47"/>
      <c r="I24" s="47"/>
      <c r="J24" s="70" t="s">
        <v>1373</v>
      </c>
      <c r="K24" s="47"/>
      <c r="O24" s="55">
        <f t="shared" si="1"/>
        <v>8</v>
      </c>
    </row>
    <row r="25" spans="1:15" ht="84" customHeight="1" x14ac:dyDescent="0.45">
      <c r="A25" s="67" t="s">
        <v>1374</v>
      </c>
      <c r="B25" s="47" t="s">
        <v>1366</v>
      </c>
      <c r="C25" s="47" t="s">
        <v>1375</v>
      </c>
      <c r="D25" s="68" t="s">
        <v>1376</v>
      </c>
      <c r="E25" s="48" t="s">
        <v>319</v>
      </c>
      <c r="F25" s="69">
        <f t="shared" si="0"/>
        <v>0</v>
      </c>
      <c r="G25" s="48">
        <v>10</v>
      </c>
      <c r="H25" s="47"/>
      <c r="I25" s="47"/>
      <c r="J25" s="70" t="s">
        <v>1377</v>
      </c>
      <c r="K25" s="47"/>
      <c r="O25" s="55">
        <f t="shared" si="1"/>
        <v>10</v>
      </c>
    </row>
    <row r="26" spans="1:15" ht="108" customHeight="1" x14ac:dyDescent="0.45">
      <c r="A26" s="67" t="s">
        <v>1378</v>
      </c>
      <c r="B26" s="47" t="s">
        <v>1366</v>
      </c>
      <c r="C26" s="47" t="s">
        <v>1379</v>
      </c>
      <c r="D26" s="68" t="s">
        <v>1380</v>
      </c>
      <c r="E26" s="48" t="s">
        <v>319</v>
      </c>
      <c r="F26" s="69">
        <f t="shared" si="0"/>
        <v>0</v>
      </c>
      <c r="G26" s="48">
        <v>8</v>
      </c>
      <c r="H26" s="47"/>
      <c r="I26" s="47"/>
      <c r="J26" s="70" t="s">
        <v>1381</v>
      </c>
      <c r="K26" s="47"/>
      <c r="O26" s="55">
        <f t="shared" si="1"/>
        <v>8</v>
      </c>
    </row>
    <row r="27" spans="1:15" ht="96" customHeight="1" x14ac:dyDescent="0.45">
      <c r="A27" s="67" t="s">
        <v>1382</v>
      </c>
      <c r="B27" s="47" t="s">
        <v>1366</v>
      </c>
      <c r="C27" s="47" t="s">
        <v>1383</v>
      </c>
      <c r="D27" s="68" t="s">
        <v>1384</v>
      </c>
      <c r="E27" s="48" t="s">
        <v>319</v>
      </c>
      <c r="F27" s="69">
        <f t="shared" si="0"/>
        <v>0</v>
      </c>
      <c r="G27" s="48">
        <v>8</v>
      </c>
      <c r="H27" s="47"/>
      <c r="I27" s="47"/>
      <c r="J27" s="70" t="s">
        <v>1385</v>
      </c>
      <c r="K27" s="47"/>
      <c r="O27" s="55">
        <f t="shared" si="1"/>
        <v>8</v>
      </c>
    </row>
    <row r="28" spans="1:15" ht="96" customHeight="1" x14ac:dyDescent="0.45">
      <c r="A28" s="67" t="s">
        <v>1386</v>
      </c>
      <c r="B28" s="47" t="s">
        <v>1366</v>
      </c>
      <c r="C28" s="47" t="s">
        <v>1387</v>
      </c>
      <c r="D28" s="68" t="s">
        <v>1388</v>
      </c>
      <c r="E28" s="48" t="s">
        <v>319</v>
      </c>
      <c r="F28" s="69">
        <f t="shared" si="0"/>
        <v>0</v>
      </c>
      <c r="G28" s="48">
        <v>8</v>
      </c>
      <c r="H28" s="47"/>
      <c r="I28" s="47"/>
      <c r="J28" s="70" t="s">
        <v>1389</v>
      </c>
      <c r="K28" s="47"/>
      <c r="O28" s="55">
        <f t="shared" si="1"/>
        <v>8</v>
      </c>
    </row>
    <row r="29" spans="1:15" ht="96" customHeight="1" x14ac:dyDescent="0.45">
      <c r="A29" s="67" t="s">
        <v>1390</v>
      </c>
      <c r="B29" s="47" t="s">
        <v>1366</v>
      </c>
      <c r="C29" s="47" t="s">
        <v>1391</v>
      </c>
      <c r="D29" s="68" t="s">
        <v>1392</v>
      </c>
      <c r="E29" s="48" t="s">
        <v>319</v>
      </c>
      <c r="F29" s="69">
        <f t="shared" si="0"/>
        <v>0</v>
      </c>
      <c r="G29" s="48">
        <v>6</v>
      </c>
      <c r="H29" s="47"/>
      <c r="I29" s="47"/>
      <c r="J29" s="70" t="s">
        <v>1393</v>
      </c>
      <c r="K29" s="47"/>
      <c r="O29" s="55">
        <f t="shared" si="1"/>
        <v>6</v>
      </c>
    </row>
  </sheetData>
  <mergeCells count="9">
    <mergeCell ref="A2:K2"/>
    <mergeCell ref="A1:K1"/>
    <mergeCell ref="B4:C4"/>
    <mergeCell ref="A6:K6"/>
    <mergeCell ref="E4:F4"/>
    <mergeCell ref="A22:K22"/>
    <mergeCell ref="A18:K18"/>
    <mergeCell ref="H4:K4"/>
    <mergeCell ref="G15:H15"/>
  </mergeCells>
  <conditionalFormatting sqref="E18:E29">
    <cfRule type="cellIs" dxfId="47" priority="2" operator="equal">
      <formula>"Best Practice"</formula>
    </cfRule>
    <cfRule type="cellIs" dxfId="46" priority="3" operator="equal">
      <formula>"Verified"</formula>
    </cfRule>
    <cfRule type="cellIs" dxfId="45" priority="4" operator="equal">
      <formula>"Low"</formula>
    </cfRule>
    <cfRule type="cellIs" dxfId="44" priority="5" operator="equal">
      <formula>"Moderate"</formula>
    </cfRule>
    <cfRule type="cellIs" dxfId="43" priority="6" operator="equal">
      <formula>"High"</formula>
    </cfRule>
    <cfRule type="cellIs" dxfId="42" priority="7" operator="equal">
      <formula>"Very High"</formula>
    </cfRule>
    <cfRule type="cellIs" dxfId="41" priority="8" operator="equal">
      <formula>"Not Applicable"</formula>
    </cfRule>
  </conditionalFormatting>
  <conditionalFormatting sqref="G15:H15">
    <cfRule type="cellIs" dxfId="40" priority="9" operator="equal">
      <formula>"Excellence Leader"</formula>
    </cfRule>
    <cfRule type="cellIs" dxfId="39" priority="10" operator="equal">
      <formula>"Gold"</formula>
    </cfRule>
    <cfRule type="cellIs" dxfId="38" priority="11" operator="equal">
      <formula>"Silver"</formula>
    </cfRule>
    <cfRule type="cellIs" dxfId="37" priority="12" operator="equal">
      <formula>"Bronze"</formula>
    </cfRule>
    <cfRule type="cellIs" dxfId="36" priority="13" operator="equal">
      <formula>"Developing"</formula>
    </cfRule>
  </conditionalFormatting>
  <dataValidations count="1">
    <dataValidation type="list" sqref="E19:E21 E23:E29" xr:uid="{00000000-0002-0000-12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27"/>
  <sheetViews>
    <sheetView workbookViewId="0"/>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9" t="s">
        <v>1394</v>
      </c>
      <c r="B1" s="86"/>
      <c r="C1" s="86"/>
      <c r="D1" s="86"/>
      <c r="E1" s="86"/>
      <c r="F1" s="86"/>
      <c r="G1" s="86"/>
      <c r="H1" s="86"/>
      <c r="I1" s="86"/>
      <c r="J1" s="86"/>
      <c r="K1" s="97"/>
      <c r="M1" s="54" t="s">
        <v>90</v>
      </c>
      <c r="N1" s="54" t="s">
        <v>185</v>
      </c>
    </row>
    <row r="2" spans="1:14" ht="15.75" customHeight="1" x14ac:dyDescent="0.45">
      <c r="A2" s="128" t="s">
        <v>1395</v>
      </c>
      <c r="B2" s="86"/>
      <c r="C2" s="86"/>
      <c r="D2" s="86"/>
      <c r="E2" s="86"/>
      <c r="F2" s="86"/>
      <c r="G2" s="86"/>
      <c r="H2" s="86"/>
      <c r="I2" s="86"/>
      <c r="J2" s="86"/>
      <c r="K2" s="97"/>
      <c r="M2" s="55" t="s">
        <v>93</v>
      </c>
      <c r="N2" s="55">
        <v>100</v>
      </c>
    </row>
    <row r="3" spans="1:14" ht="15" customHeight="1" x14ac:dyDescent="0.45">
      <c r="M3" s="55" t="s">
        <v>94</v>
      </c>
      <c r="N3" s="55">
        <v>100</v>
      </c>
    </row>
    <row r="4" spans="1:14" ht="18" customHeight="1" x14ac:dyDescent="0.45">
      <c r="A4" s="56" t="s">
        <v>84</v>
      </c>
      <c r="B4" s="125" t="str">
        <f>'Pre-Audit Scoping'!D5</f>
        <v xml:space="preserve">Test </v>
      </c>
      <c r="C4" s="97"/>
      <c r="D4" s="56" t="s">
        <v>85</v>
      </c>
      <c r="E4" s="125" t="str">
        <f>'Pre-Audit Scoping'!D10</f>
        <v>July 7-9 2026</v>
      </c>
      <c r="F4" s="97"/>
      <c r="G4" s="56" t="s">
        <v>86</v>
      </c>
      <c r="H4" s="125" t="str">
        <f>TRIM('Pre-Audit Scoping'!D11)&amp;IF(TRIM('Pre-Audit Scoping'!D12)&lt;&gt;"",", "&amp;TRIM('Pre-Audit Scoping'!D12),"")</f>
        <v>Sara Wallon, Gabriel Wallon</v>
      </c>
      <c r="I4" s="86"/>
      <c r="J4" s="86"/>
      <c r="K4" s="97"/>
      <c r="M4" s="55" t="s">
        <v>96</v>
      </c>
      <c r="N4" s="55">
        <v>85</v>
      </c>
    </row>
    <row r="5" spans="1:14" ht="15" customHeight="1" x14ac:dyDescent="0.45">
      <c r="M5" s="55" t="s">
        <v>97</v>
      </c>
      <c r="N5" s="55">
        <v>70</v>
      </c>
    </row>
    <row r="6" spans="1:14" ht="19.5" customHeight="1" x14ac:dyDescent="0.45">
      <c r="A6" s="124" t="s">
        <v>187</v>
      </c>
      <c r="B6" s="86"/>
      <c r="C6" s="86"/>
      <c r="D6" s="86"/>
      <c r="E6" s="86"/>
      <c r="F6" s="86"/>
      <c r="G6" s="86"/>
      <c r="H6" s="86"/>
      <c r="I6" s="86"/>
      <c r="J6" s="86"/>
      <c r="K6" s="97"/>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SUM(F18:F27)</f>
        <v>0</v>
      </c>
      <c r="C8" s="60">
        <f>SUM(O18:O27)</f>
        <v>68</v>
      </c>
      <c r="D8" s="61">
        <f>IF(C8&lt;&gt;0,B8/C8,"N/A")</f>
        <v>0</v>
      </c>
      <c r="F8" s="47" t="s">
        <v>93</v>
      </c>
      <c r="G8" s="62">
        <f>COUNTIF(E18:E27,"Best Practice")</f>
        <v>0</v>
      </c>
      <c r="M8" s="55" t="s">
        <v>191</v>
      </c>
      <c r="N8" s="55">
        <v>0</v>
      </c>
    </row>
    <row r="9" spans="1:14" ht="15" customHeight="1" x14ac:dyDescent="0.45">
      <c r="F9" s="47" t="s">
        <v>94</v>
      </c>
      <c r="G9" s="62">
        <f>COUNTIF(E18:E27,"Verified")</f>
        <v>0</v>
      </c>
    </row>
    <row r="10" spans="1:14" ht="15" customHeight="1" x14ac:dyDescent="0.45">
      <c r="F10" s="47" t="s">
        <v>96</v>
      </c>
      <c r="G10" s="62">
        <f>COUNTIF(E18:E27,"Low")</f>
        <v>0</v>
      </c>
    </row>
    <row r="11" spans="1:14" ht="15" customHeight="1" x14ac:dyDescent="0.45">
      <c r="F11" s="47" t="s">
        <v>97</v>
      </c>
      <c r="G11" s="62">
        <f>COUNTIF(E18:E27,"Moderate")</f>
        <v>0</v>
      </c>
    </row>
    <row r="12" spans="1:14" ht="15" customHeight="1" x14ac:dyDescent="0.45">
      <c r="F12" s="47" t="s">
        <v>98</v>
      </c>
      <c r="G12" s="62">
        <f>COUNTIF(E18:E27,"High")</f>
        <v>0</v>
      </c>
    </row>
    <row r="13" spans="1:14" ht="15" customHeight="1" x14ac:dyDescent="0.45">
      <c r="F13" s="47" t="s">
        <v>99</v>
      </c>
      <c r="G13" s="62">
        <f>COUNTIF(E18:E27,"Very High")</f>
        <v>0</v>
      </c>
    </row>
    <row r="14" spans="1:14" ht="21.75" customHeight="1" x14ac:dyDescent="0.45">
      <c r="F14" s="47" t="s">
        <v>191</v>
      </c>
      <c r="G14" s="62">
        <f>COUNTIF(E18:E27,"Not Applicable")</f>
        <v>0</v>
      </c>
    </row>
    <row r="15" spans="1:14" ht="19.5" customHeight="1" x14ac:dyDescent="0.6">
      <c r="A15" s="63" t="s">
        <v>151</v>
      </c>
      <c r="D15" s="64">
        <f>D8</f>
        <v>0</v>
      </c>
      <c r="F15" s="56" t="s">
        <v>192</v>
      </c>
      <c r="G15" s="127" t="str">
        <f>IF(D8="N/A","N/A",IF(D8&gt;=0.99,"Excellence Leader",IF(D8&gt;=0.9,"Gold",IF(D8&gt;=0.8,"Silver",IF(D8&gt;=0.51,"Bronze","Developing")))))</f>
        <v>Developing</v>
      </c>
      <c r="H15" s="97"/>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6" t="s">
        <v>1396</v>
      </c>
      <c r="B18" s="86"/>
      <c r="C18" s="86"/>
      <c r="D18" s="86"/>
      <c r="E18" s="86"/>
      <c r="F18" s="86"/>
      <c r="G18" s="86"/>
      <c r="H18" s="86"/>
      <c r="I18" s="86"/>
      <c r="J18" s="86"/>
      <c r="K18" s="97"/>
    </row>
    <row r="19" spans="1:15" ht="84" customHeight="1" x14ac:dyDescent="0.45">
      <c r="A19" s="67" t="s">
        <v>1397</v>
      </c>
      <c r="B19" s="47" t="s">
        <v>1398</v>
      </c>
      <c r="C19" s="47" t="s">
        <v>1399</v>
      </c>
      <c r="D19" s="68" t="s">
        <v>1400</v>
      </c>
      <c r="E19" s="48" t="s">
        <v>319</v>
      </c>
      <c r="F19" s="69">
        <f>IFERROR(ROUND(G19*VLOOKUP(E19,$M$2:$N$8,2,FALSE())/100,1),0)</f>
        <v>0</v>
      </c>
      <c r="G19" s="48">
        <v>6</v>
      </c>
      <c r="H19" s="47"/>
      <c r="I19" s="47"/>
      <c r="J19" s="70" t="s">
        <v>1401</v>
      </c>
      <c r="K19" s="47"/>
      <c r="O19" s="55">
        <f>IF(E19="Not Applicable",0,G19)</f>
        <v>6</v>
      </c>
    </row>
    <row r="20" spans="1:15" ht="96" customHeight="1" x14ac:dyDescent="0.45">
      <c r="A20" s="67" t="s">
        <v>1402</v>
      </c>
      <c r="B20" s="47" t="s">
        <v>1398</v>
      </c>
      <c r="C20" s="47" t="s">
        <v>1403</v>
      </c>
      <c r="D20" s="68" t="s">
        <v>1404</v>
      </c>
      <c r="E20" s="48" t="s">
        <v>319</v>
      </c>
      <c r="F20" s="69">
        <f>IFERROR(ROUND(G20*VLOOKUP(E20,$M$2:$N$8,2,FALSE())/100,1),0)</f>
        <v>0</v>
      </c>
      <c r="G20" s="48">
        <v>10</v>
      </c>
      <c r="H20" s="47"/>
      <c r="I20" s="47"/>
      <c r="J20" s="70" t="s">
        <v>1405</v>
      </c>
      <c r="K20" s="47"/>
      <c r="O20" s="55">
        <f>IF(E20="Not Applicable",0,G20)</f>
        <v>10</v>
      </c>
    </row>
    <row r="21" spans="1:15" ht="108" customHeight="1" x14ac:dyDescent="0.45">
      <c r="A21" s="67" t="s">
        <v>1406</v>
      </c>
      <c r="B21" s="47" t="s">
        <v>1398</v>
      </c>
      <c r="C21" s="47" t="s">
        <v>1407</v>
      </c>
      <c r="D21" s="68" t="s">
        <v>1408</v>
      </c>
      <c r="E21" s="48" t="s">
        <v>319</v>
      </c>
      <c r="F21" s="69">
        <f>IFERROR(ROUND(G21*VLOOKUP(E21,$M$2:$N$8,2,FALSE())/100,1),0)</f>
        <v>0</v>
      </c>
      <c r="G21" s="48">
        <v>8</v>
      </c>
      <c r="H21" s="47"/>
      <c r="I21" s="47"/>
      <c r="J21" s="70" t="s">
        <v>1409</v>
      </c>
      <c r="K21" s="47"/>
      <c r="O21" s="55">
        <f>IF(E21="Not Applicable",0,G21)</f>
        <v>8</v>
      </c>
    </row>
    <row r="22" spans="1:15" ht="15.75" customHeight="1" x14ac:dyDescent="0.45">
      <c r="A22" s="126" t="s">
        <v>1410</v>
      </c>
      <c r="B22" s="86"/>
      <c r="C22" s="86"/>
      <c r="D22" s="86"/>
      <c r="E22" s="86"/>
      <c r="F22" s="86"/>
      <c r="G22" s="86"/>
      <c r="H22" s="86"/>
      <c r="I22" s="86"/>
      <c r="J22" s="86"/>
      <c r="K22" s="97"/>
    </row>
    <row r="23" spans="1:15" ht="96" customHeight="1" x14ac:dyDescent="0.45">
      <c r="A23" s="67" t="s">
        <v>1411</v>
      </c>
      <c r="B23" s="47" t="s">
        <v>1412</v>
      </c>
      <c r="C23" s="47" t="s">
        <v>1413</v>
      </c>
      <c r="D23" s="68" t="s">
        <v>1414</v>
      </c>
      <c r="E23" s="48" t="s">
        <v>319</v>
      </c>
      <c r="F23" s="69">
        <f>IFERROR(ROUND(G23*VLOOKUP(E23,$M$2:$N$8,2,FALSE())/100,1),0)</f>
        <v>0</v>
      </c>
      <c r="G23" s="48">
        <v>10</v>
      </c>
      <c r="H23" s="47"/>
      <c r="I23" s="47"/>
      <c r="J23" s="70" t="s">
        <v>1415</v>
      </c>
      <c r="K23" s="47"/>
      <c r="O23" s="55">
        <f>IF(E23="Not Applicable",0,G23)</f>
        <v>10</v>
      </c>
    </row>
    <row r="24" spans="1:15" ht="96" customHeight="1" x14ac:dyDescent="0.45">
      <c r="A24" s="67" t="s">
        <v>1416</v>
      </c>
      <c r="B24" s="47" t="s">
        <v>1412</v>
      </c>
      <c r="C24" s="47" t="s">
        <v>1417</v>
      </c>
      <c r="D24" s="68" t="s">
        <v>1418</v>
      </c>
      <c r="E24" s="48" t="s">
        <v>319</v>
      </c>
      <c r="F24" s="69">
        <f>IFERROR(ROUND(G24*VLOOKUP(E24,$M$2:$N$8,2,FALSE())/100,1),0)</f>
        <v>0</v>
      </c>
      <c r="G24" s="48">
        <v>8</v>
      </c>
      <c r="H24" s="47"/>
      <c r="I24" s="47"/>
      <c r="J24" s="70" t="s">
        <v>1419</v>
      </c>
      <c r="K24" s="47"/>
      <c r="O24" s="55">
        <f>IF(E24="Not Applicable",0,G24)</f>
        <v>8</v>
      </c>
    </row>
    <row r="25" spans="1:15" ht="96" customHeight="1" x14ac:dyDescent="0.45">
      <c r="A25" s="67" t="s">
        <v>1420</v>
      </c>
      <c r="B25" s="47" t="s">
        <v>1412</v>
      </c>
      <c r="C25" s="47" t="s">
        <v>1421</v>
      </c>
      <c r="D25" s="68" t="s">
        <v>1422</v>
      </c>
      <c r="E25" s="48" t="s">
        <v>319</v>
      </c>
      <c r="F25" s="69">
        <f>IFERROR(ROUND(G25*VLOOKUP(E25,$M$2:$N$8,2,FALSE())/100,1),0)</f>
        <v>0</v>
      </c>
      <c r="G25" s="48">
        <v>10</v>
      </c>
      <c r="H25" s="47"/>
      <c r="I25" s="47"/>
      <c r="J25" s="70" t="s">
        <v>1423</v>
      </c>
      <c r="K25" s="47"/>
      <c r="O25" s="55">
        <f>IF(E25="Not Applicable",0,G25)</f>
        <v>10</v>
      </c>
    </row>
    <row r="26" spans="1:15" ht="84" customHeight="1" x14ac:dyDescent="0.45">
      <c r="A26" s="67" t="s">
        <v>1424</v>
      </c>
      <c r="B26" s="47" t="s">
        <v>1412</v>
      </c>
      <c r="C26" s="47" t="s">
        <v>1425</v>
      </c>
      <c r="D26" s="68" t="s">
        <v>1426</v>
      </c>
      <c r="E26" s="48" t="s">
        <v>319</v>
      </c>
      <c r="F26" s="69">
        <f>IFERROR(ROUND(G26*VLOOKUP(E26,$M$2:$N$8,2,FALSE())/100,1),0)</f>
        <v>0</v>
      </c>
      <c r="G26" s="48">
        <v>8</v>
      </c>
      <c r="H26" s="47"/>
      <c r="I26" s="47"/>
      <c r="J26" s="70" t="s">
        <v>1427</v>
      </c>
      <c r="K26" s="47"/>
      <c r="O26" s="55">
        <f>IF(E26="Not Applicable",0,G26)</f>
        <v>8</v>
      </c>
    </row>
    <row r="27" spans="1:15" ht="84" customHeight="1" x14ac:dyDescent="0.45">
      <c r="A27" s="67" t="s">
        <v>1428</v>
      </c>
      <c r="B27" s="47" t="s">
        <v>1412</v>
      </c>
      <c r="C27" s="47" t="s">
        <v>1429</v>
      </c>
      <c r="D27" s="68" t="s">
        <v>1430</v>
      </c>
      <c r="E27" s="48" t="s">
        <v>319</v>
      </c>
      <c r="F27" s="69">
        <f>IFERROR(ROUND(G27*VLOOKUP(E27,$M$2:$N$8,2,FALSE())/100,1),0)</f>
        <v>0</v>
      </c>
      <c r="G27" s="48">
        <v>8</v>
      </c>
      <c r="H27" s="47"/>
      <c r="I27" s="47"/>
      <c r="J27" s="70" t="s">
        <v>1431</v>
      </c>
      <c r="K27" s="47"/>
      <c r="O27" s="55">
        <f>IF(E27="Not Applicable",0,G27)</f>
        <v>8</v>
      </c>
    </row>
  </sheetData>
  <mergeCells count="9">
    <mergeCell ref="A2:K2"/>
    <mergeCell ref="A1:K1"/>
    <mergeCell ref="B4:C4"/>
    <mergeCell ref="A6:K6"/>
    <mergeCell ref="E4:F4"/>
    <mergeCell ref="A22:K22"/>
    <mergeCell ref="A18:K18"/>
    <mergeCell ref="H4:K4"/>
    <mergeCell ref="G15:H15"/>
  </mergeCells>
  <conditionalFormatting sqref="E18:E27">
    <cfRule type="cellIs" dxfId="35" priority="2" operator="equal">
      <formula>"Best Practice"</formula>
    </cfRule>
    <cfRule type="cellIs" dxfId="34" priority="3" operator="equal">
      <formula>"Verified"</formula>
    </cfRule>
    <cfRule type="cellIs" dxfId="33" priority="4" operator="equal">
      <formula>"Low"</formula>
    </cfRule>
    <cfRule type="cellIs" dxfId="32" priority="5" operator="equal">
      <formula>"Moderate"</formula>
    </cfRule>
    <cfRule type="cellIs" dxfId="31" priority="6" operator="equal">
      <formula>"High"</formula>
    </cfRule>
    <cfRule type="cellIs" dxfId="30" priority="7" operator="equal">
      <formula>"Very High"</formula>
    </cfRule>
    <cfRule type="cellIs" dxfId="29" priority="8" operator="equal">
      <formula>"Not Applicable"</formula>
    </cfRule>
  </conditionalFormatting>
  <conditionalFormatting sqref="G15:H15">
    <cfRule type="cellIs" dxfId="28" priority="9" operator="equal">
      <formula>"Excellence Leader"</formula>
    </cfRule>
    <cfRule type="cellIs" dxfId="27" priority="10" operator="equal">
      <formula>"Gold"</formula>
    </cfRule>
    <cfRule type="cellIs" dxfId="26" priority="11" operator="equal">
      <formula>"Silver"</formula>
    </cfRule>
    <cfRule type="cellIs" dxfId="25" priority="12" operator="equal">
      <formula>"Bronze"</formula>
    </cfRule>
    <cfRule type="cellIs" dxfId="24" priority="13" operator="equal">
      <formula>"Developing"</formula>
    </cfRule>
  </conditionalFormatting>
  <dataValidations count="1">
    <dataValidation type="list" sqref="E19:E21 E23:E27" xr:uid="{00000000-0002-0000-13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30"/>
  <sheetViews>
    <sheetView topLeftCell="A20" workbookViewId="0">
      <selection sqref="A1:K1"/>
    </sheetView>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9" t="s">
        <v>1432</v>
      </c>
      <c r="B1" s="86"/>
      <c r="C1" s="86"/>
      <c r="D1" s="86"/>
      <c r="E1" s="86"/>
      <c r="F1" s="86"/>
      <c r="G1" s="86"/>
      <c r="H1" s="86"/>
      <c r="I1" s="86"/>
      <c r="J1" s="86"/>
      <c r="K1" s="97"/>
      <c r="M1" s="54" t="s">
        <v>90</v>
      </c>
      <c r="N1" s="54" t="s">
        <v>185</v>
      </c>
    </row>
    <row r="2" spans="1:14" ht="15.75" customHeight="1" x14ac:dyDescent="0.45">
      <c r="A2" s="128" t="s">
        <v>1433</v>
      </c>
      <c r="B2" s="86"/>
      <c r="C2" s="86"/>
      <c r="D2" s="86"/>
      <c r="E2" s="86"/>
      <c r="F2" s="86"/>
      <c r="G2" s="86"/>
      <c r="H2" s="86"/>
      <c r="I2" s="86"/>
      <c r="J2" s="86"/>
      <c r="K2" s="97"/>
      <c r="M2" s="55" t="s">
        <v>93</v>
      </c>
      <c r="N2" s="55">
        <v>100</v>
      </c>
    </row>
    <row r="3" spans="1:14" ht="15" customHeight="1" x14ac:dyDescent="0.45">
      <c r="M3" s="55" t="s">
        <v>94</v>
      </c>
      <c r="N3" s="55">
        <v>100</v>
      </c>
    </row>
    <row r="4" spans="1:14" ht="18" customHeight="1" x14ac:dyDescent="0.45">
      <c r="A4" s="56" t="s">
        <v>84</v>
      </c>
      <c r="B4" s="125" t="str">
        <f>'Pre-Audit Scoping'!D5</f>
        <v xml:space="preserve">Test </v>
      </c>
      <c r="C4" s="97"/>
      <c r="D4" s="56" t="s">
        <v>85</v>
      </c>
      <c r="E4" s="125" t="str">
        <f>'Pre-Audit Scoping'!D10</f>
        <v>July 7-9 2026</v>
      </c>
      <c r="F4" s="97"/>
      <c r="G4" s="56" t="s">
        <v>86</v>
      </c>
      <c r="H4" s="125" t="str">
        <f>TRIM('Pre-Audit Scoping'!D11)&amp;IF(TRIM('Pre-Audit Scoping'!D12)&lt;&gt;"",", "&amp;TRIM('Pre-Audit Scoping'!D12),"")</f>
        <v>Sara Wallon, Gabriel Wallon</v>
      </c>
      <c r="I4" s="86"/>
      <c r="J4" s="86"/>
      <c r="K4" s="97"/>
      <c r="M4" s="55" t="s">
        <v>96</v>
      </c>
      <c r="N4" s="55">
        <v>85</v>
      </c>
    </row>
    <row r="5" spans="1:14" ht="15" customHeight="1" x14ac:dyDescent="0.45">
      <c r="M5" s="55" t="s">
        <v>97</v>
      </c>
      <c r="N5" s="55">
        <v>70</v>
      </c>
    </row>
    <row r="6" spans="1:14" ht="19.5" customHeight="1" x14ac:dyDescent="0.45">
      <c r="A6" s="124" t="s">
        <v>187</v>
      </c>
      <c r="B6" s="86"/>
      <c r="C6" s="86"/>
      <c r="D6" s="86"/>
      <c r="E6" s="86"/>
      <c r="F6" s="86"/>
      <c r="G6" s="86"/>
      <c r="H6" s="86"/>
      <c r="I6" s="86"/>
      <c r="J6" s="86"/>
      <c r="K6" s="97"/>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SUM(F18:F30)</f>
        <v>0</v>
      </c>
      <c r="C8" s="60">
        <f>SUM(O18:O30)</f>
        <v>76</v>
      </c>
      <c r="D8" s="61">
        <f>IF(C8&lt;&gt;0,B8/C8,"N/A")</f>
        <v>0</v>
      </c>
      <c r="F8" s="47" t="s">
        <v>93</v>
      </c>
      <c r="G8" s="62">
        <f>COUNTIF(E18:E30,"Best Practice")</f>
        <v>0</v>
      </c>
      <c r="M8" s="55" t="s">
        <v>191</v>
      </c>
      <c r="N8" s="55">
        <v>0</v>
      </c>
    </row>
    <row r="9" spans="1:14" ht="15" customHeight="1" x14ac:dyDescent="0.45">
      <c r="F9" s="47" t="s">
        <v>94</v>
      </c>
      <c r="G9" s="62">
        <f>COUNTIF(E18:E30,"Verified")</f>
        <v>0</v>
      </c>
    </row>
    <row r="10" spans="1:14" ht="15" customHeight="1" x14ac:dyDescent="0.45">
      <c r="F10" s="47" t="s">
        <v>96</v>
      </c>
      <c r="G10" s="62">
        <f>COUNTIF(E18:E30,"Low")</f>
        <v>0</v>
      </c>
    </row>
    <row r="11" spans="1:14" ht="15" customHeight="1" x14ac:dyDescent="0.45">
      <c r="F11" s="47" t="s">
        <v>97</v>
      </c>
      <c r="G11" s="62">
        <f>COUNTIF(E18:E30,"Moderate")</f>
        <v>0</v>
      </c>
    </row>
    <row r="12" spans="1:14" ht="15" customHeight="1" x14ac:dyDescent="0.45">
      <c r="F12" s="47" t="s">
        <v>98</v>
      </c>
      <c r="G12" s="62">
        <f>COUNTIF(E18:E30,"High")</f>
        <v>0</v>
      </c>
    </row>
    <row r="13" spans="1:14" ht="15" customHeight="1" x14ac:dyDescent="0.45">
      <c r="F13" s="47" t="s">
        <v>99</v>
      </c>
      <c r="G13" s="62">
        <f>COUNTIF(E18:E30,"Very High")</f>
        <v>0</v>
      </c>
    </row>
    <row r="14" spans="1:14" ht="21.75" customHeight="1" x14ac:dyDescent="0.45">
      <c r="F14" s="47" t="s">
        <v>191</v>
      </c>
      <c r="G14" s="62">
        <f>COUNTIF(E18:E30,"Not Applicable")</f>
        <v>0</v>
      </c>
    </row>
    <row r="15" spans="1:14" ht="19.5" customHeight="1" x14ac:dyDescent="0.6">
      <c r="A15" s="63" t="s">
        <v>151</v>
      </c>
      <c r="D15" s="64">
        <f>D8</f>
        <v>0</v>
      </c>
      <c r="F15" s="56" t="s">
        <v>192</v>
      </c>
      <c r="G15" s="127" t="str">
        <f>IF(D8="N/A","N/A",IF(D8&gt;=0.99,"Excellence Leader",IF(D8&gt;=0.9,"Gold",IF(D8&gt;=0.8,"Silver",IF(D8&gt;=0.51,"Bronze","Developing")))))</f>
        <v>Developing</v>
      </c>
      <c r="H15" s="97"/>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6" t="s">
        <v>1434</v>
      </c>
      <c r="B18" s="86"/>
      <c r="C18" s="86"/>
      <c r="D18" s="86"/>
      <c r="E18" s="86"/>
      <c r="F18" s="86"/>
      <c r="G18" s="86"/>
      <c r="H18" s="86"/>
      <c r="I18" s="86"/>
      <c r="J18" s="86"/>
      <c r="K18" s="97"/>
    </row>
    <row r="19" spans="1:15" ht="96" customHeight="1" x14ac:dyDescent="0.45">
      <c r="A19" s="67" t="s">
        <v>1435</v>
      </c>
      <c r="B19" s="47" t="s">
        <v>1436</v>
      </c>
      <c r="C19" s="47" t="s">
        <v>1437</v>
      </c>
      <c r="D19" s="68" t="s">
        <v>1438</v>
      </c>
      <c r="E19" s="48" t="s">
        <v>319</v>
      </c>
      <c r="F19" s="69">
        <f>IFERROR(ROUND(G19*VLOOKUP(E19,$M$2:$N$8,2,FALSE())/100,1),0)</f>
        <v>0</v>
      </c>
      <c r="G19" s="48">
        <v>10</v>
      </c>
      <c r="H19" s="47"/>
      <c r="I19" s="47"/>
      <c r="J19" s="70" t="s">
        <v>1439</v>
      </c>
      <c r="K19" s="47"/>
      <c r="O19" s="55">
        <f>IF(E19="Not Applicable",0,G19)</f>
        <v>10</v>
      </c>
    </row>
    <row r="20" spans="1:15" ht="96" customHeight="1" x14ac:dyDescent="0.45">
      <c r="A20" s="67" t="s">
        <v>1440</v>
      </c>
      <c r="B20" s="47" t="s">
        <v>1436</v>
      </c>
      <c r="C20" s="47" t="s">
        <v>1441</v>
      </c>
      <c r="D20" s="68" t="s">
        <v>1442</v>
      </c>
      <c r="E20" s="48" t="s">
        <v>319</v>
      </c>
      <c r="F20" s="69">
        <f>IFERROR(ROUND(G20*VLOOKUP(E20,$M$2:$N$8,2,FALSE())/100,1),0)</f>
        <v>0</v>
      </c>
      <c r="G20" s="48">
        <v>8</v>
      </c>
      <c r="H20" s="47"/>
      <c r="I20" s="47"/>
      <c r="J20" s="70" t="s">
        <v>1443</v>
      </c>
      <c r="K20" s="47"/>
      <c r="O20" s="55">
        <f>IF(E20="Not Applicable",0,G20)</f>
        <v>8</v>
      </c>
    </row>
    <row r="21" spans="1:15" ht="96" customHeight="1" x14ac:dyDescent="0.45">
      <c r="A21" s="67" t="s">
        <v>1444</v>
      </c>
      <c r="B21" s="47" t="s">
        <v>1436</v>
      </c>
      <c r="C21" s="47" t="s">
        <v>1445</v>
      </c>
      <c r="D21" s="68" t="s">
        <v>1446</v>
      </c>
      <c r="E21" s="48" t="s">
        <v>319</v>
      </c>
      <c r="F21" s="69">
        <f>IFERROR(ROUND(G21*VLOOKUP(E21,$M$2:$N$8,2,FALSE())/100,1),0)</f>
        <v>0</v>
      </c>
      <c r="G21" s="48">
        <v>8</v>
      </c>
      <c r="H21" s="47"/>
      <c r="I21" s="47"/>
      <c r="J21" s="70" t="s">
        <v>1447</v>
      </c>
      <c r="K21" s="47"/>
      <c r="O21" s="55">
        <f>IF(E21="Not Applicable",0,G21)</f>
        <v>8</v>
      </c>
    </row>
    <row r="22" spans="1:15" ht="84" customHeight="1" x14ac:dyDescent="0.45">
      <c r="A22" s="67" t="s">
        <v>1448</v>
      </c>
      <c r="B22" s="47" t="s">
        <v>1436</v>
      </c>
      <c r="C22" s="47" t="s">
        <v>1449</v>
      </c>
      <c r="D22" s="68" t="s">
        <v>1450</v>
      </c>
      <c r="E22" s="48" t="s">
        <v>319</v>
      </c>
      <c r="F22" s="69">
        <f>IFERROR(ROUND(G22*VLOOKUP(E22,$M$2:$N$8,2,FALSE())/100,1),0)</f>
        <v>0</v>
      </c>
      <c r="G22" s="48">
        <v>6</v>
      </c>
      <c r="H22" s="47"/>
      <c r="I22" s="47"/>
      <c r="J22" s="70" t="s">
        <v>1451</v>
      </c>
      <c r="K22" s="47"/>
      <c r="O22" s="55">
        <f>IF(E22="Not Applicable",0,G22)</f>
        <v>6</v>
      </c>
    </row>
    <row r="23" spans="1:15" ht="15.75" customHeight="1" x14ac:dyDescent="0.45">
      <c r="A23" s="126" t="s">
        <v>1452</v>
      </c>
      <c r="B23" s="86"/>
      <c r="C23" s="86"/>
      <c r="D23" s="86"/>
      <c r="E23" s="86"/>
      <c r="F23" s="86"/>
      <c r="G23" s="86"/>
      <c r="H23" s="86"/>
      <c r="I23" s="86"/>
      <c r="J23" s="86"/>
      <c r="K23" s="97"/>
    </row>
    <row r="24" spans="1:15" ht="96" customHeight="1" x14ac:dyDescent="0.45">
      <c r="A24" s="67" t="s">
        <v>1453</v>
      </c>
      <c r="B24" s="47" t="s">
        <v>1454</v>
      </c>
      <c r="C24" s="47" t="s">
        <v>1455</v>
      </c>
      <c r="D24" s="68" t="s">
        <v>1456</v>
      </c>
      <c r="E24" s="48" t="s">
        <v>319</v>
      </c>
      <c r="F24" s="69">
        <f>IFERROR(ROUND(G24*VLOOKUP(E24,$M$2:$N$8,2,FALSE())/100,1),0)</f>
        <v>0</v>
      </c>
      <c r="G24" s="48">
        <v>8</v>
      </c>
      <c r="H24" s="47"/>
      <c r="I24" s="47"/>
      <c r="J24" s="70" t="s">
        <v>1457</v>
      </c>
      <c r="K24" s="47"/>
      <c r="O24" s="55">
        <f>IF(E24="Not Applicable",0,G24)</f>
        <v>8</v>
      </c>
    </row>
    <row r="25" spans="1:15" ht="84" customHeight="1" x14ac:dyDescent="0.45">
      <c r="A25" s="67" t="s">
        <v>1458</v>
      </c>
      <c r="B25" s="47" t="s">
        <v>1454</v>
      </c>
      <c r="C25" s="47" t="s">
        <v>1459</v>
      </c>
      <c r="D25" s="68" t="s">
        <v>1460</v>
      </c>
      <c r="E25" s="48" t="s">
        <v>319</v>
      </c>
      <c r="F25" s="69">
        <f>IFERROR(ROUND(G25*VLOOKUP(E25,$M$2:$N$8,2,FALSE())/100,1),0)</f>
        <v>0</v>
      </c>
      <c r="G25" s="48">
        <v>6</v>
      </c>
      <c r="H25" s="47"/>
      <c r="I25" s="47"/>
      <c r="J25" s="70" t="s">
        <v>1461</v>
      </c>
      <c r="K25" s="47"/>
      <c r="O25" s="55">
        <f>IF(E25="Not Applicable",0,G25)</f>
        <v>6</v>
      </c>
    </row>
    <row r="26" spans="1:15" ht="108" customHeight="1" x14ac:dyDescent="0.45">
      <c r="A26" s="67" t="s">
        <v>1462</v>
      </c>
      <c r="B26" s="47" t="s">
        <v>1454</v>
      </c>
      <c r="C26" s="47" t="s">
        <v>1463</v>
      </c>
      <c r="D26" s="68" t="s">
        <v>1464</v>
      </c>
      <c r="E26" s="48" t="s">
        <v>319</v>
      </c>
      <c r="F26" s="69">
        <f>IFERROR(ROUND(G26*VLOOKUP(E26,$M$2:$N$8,2,FALSE())/100,1),0)</f>
        <v>0</v>
      </c>
      <c r="G26" s="48">
        <v>8</v>
      </c>
      <c r="H26" s="47"/>
      <c r="I26" s="47"/>
      <c r="J26" s="70" t="s">
        <v>1465</v>
      </c>
      <c r="K26" s="47"/>
      <c r="O26" s="55">
        <f>IF(E26="Not Applicable",0,G26)</f>
        <v>8</v>
      </c>
    </row>
    <row r="27" spans="1:15" ht="72" customHeight="1" x14ac:dyDescent="0.45">
      <c r="A27" s="67" t="s">
        <v>1466</v>
      </c>
      <c r="B27" s="47" t="s">
        <v>1454</v>
      </c>
      <c r="C27" s="47" t="s">
        <v>1467</v>
      </c>
      <c r="D27" s="68" t="s">
        <v>1468</v>
      </c>
      <c r="E27" s="48" t="s">
        <v>319</v>
      </c>
      <c r="F27" s="69">
        <f>IFERROR(ROUND(G27*VLOOKUP(E27,$M$2:$N$8,2,FALSE())/100,1),0)</f>
        <v>0</v>
      </c>
      <c r="G27" s="48">
        <v>6</v>
      </c>
      <c r="H27" s="47"/>
      <c r="I27" s="47"/>
      <c r="J27" s="70" t="s">
        <v>1469</v>
      </c>
      <c r="K27" s="47"/>
      <c r="O27" s="55">
        <f>IF(E27="Not Applicable",0,G27)</f>
        <v>6</v>
      </c>
    </row>
    <row r="28" spans="1:15" ht="15.75" customHeight="1" x14ac:dyDescent="0.45">
      <c r="A28" s="126" t="s">
        <v>1470</v>
      </c>
      <c r="B28" s="86"/>
      <c r="C28" s="86"/>
      <c r="D28" s="86"/>
      <c r="E28" s="86"/>
      <c r="F28" s="86"/>
      <c r="G28" s="86"/>
      <c r="H28" s="86"/>
      <c r="I28" s="86"/>
      <c r="J28" s="86"/>
      <c r="K28" s="97"/>
    </row>
    <row r="29" spans="1:15" ht="84" customHeight="1" x14ac:dyDescent="0.45">
      <c r="A29" s="67" t="s">
        <v>1471</v>
      </c>
      <c r="B29" s="47" t="s">
        <v>1472</v>
      </c>
      <c r="C29" s="47" t="s">
        <v>1473</v>
      </c>
      <c r="D29" s="68" t="s">
        <v>1474</v>
      </c>
      <c r="E29" s="48" t="s">
        <v>319</v>
      </c>
      <c r="F29" s="69">
        <f>IFERROR(ROUND(G29*VLOOKUP(E29,$M$2:$N$8,2,FALSE())/100,1),0)</f>
        <v>0</v>
      </c>
      <c r="G29" s="48">
        <v>8</v>
      </c>
      <c r="H29" s="47"/>
      <c r="I29" s="47"/>
      <c r="J29" s="70" t="s">
        <v>1475</v>
      </c>
      <c r="K29" s="47"/>
      <c r="O29" s="55">
        <f>IF(E29="Not Applicable",0,G29)</f>
        <v>8</v>
      </c>
    </row>
    <row r="30" spans="1:15" ht="96" customHeight="1" x14ac:dyDescent="0.45">
      <c r="A30" s="67" t="s">
        <v>1476</v>
      </c>
      <c r="B30" s="47" t="s">
        <v>1472</v>
      </c>
      <c r="C30" s="47" t="s">
        <v>1477</v>
      </c>
      <c r="D30" s="68" t="s">
        <v>1478</v>
      </c>
      <c r="E30" s="48" t="s">
        <v>319</v>
      </c>
      <c r="F30" s="69">
        <f>IFERROR(ROUND(G30*VLOOKUP(E30,$M$2:$N$8,2,FALSE())/100,1),0)</f>
        <v>0</v>
      </c>
      <c r="G30" s="48">
        <v>8</v>
      </c>
      <c r="H30" s="47"/>
      <c r="I30" s="47"/>
      <c r="J30" s="70" t="s">
        <v>1479</v>
      </c>
      <c r="K30" s="47"/>
      <c r="O30" s="55">
        <f>IF(E30="Not Applicable",0,G30)</f>
        <v>8</v>
      </c>
    </row>
  </sheetData>
  <mergeCells count="10">
    <mergeCell ref="A2:K2"/>
    <mergeCell ref="A28:K28"/>
    <mergeCell ref="A1:K1"/>
    <mergeCell ref="B4:C4"/>
    <mergeCell ref="A6:K6"/>
    <mergeCell ref="E4:F4"/>
    <mergeCell ref="H4:K4"/>
    <mergeCell ref="A18:K18"/>
    <mergeCell ref="A23:K23"/>
    <mergeCell ref="G15:H15"/>
  </mergeCells>
  <conditionalFormatting sqref="E18:E30">
    <cfRule type="cellIs" dxfId="23" priority="2" operator="equal">
      <formula>"Best Practice"</formula>
    </cfRule>
    <cfRule type="cellIs" dxfId="22" priority="3" operator="equal">
      <formula>"Verified"</formula>
    </cfRule>
    <cfRule type="cellIs" dxfId="21" priority="4" operator="equal">
      <formula>"Low"</formula>
    </cfRule>
    <cfRule type="cellIs" dxfId="20" priority="5" operator="equal">
      <formula>"Moderate"</formula>
    </cfRule>
    <cfRule type="cellIs" dxfId="19" priority="6" operator="equal">
      <formula>"High"</formula>
    </cfRule>
    <cfRule type="cellIs" dxfId="18" priority="7" operator="equal">
      <formula>"Very High"</formula>
    </cfRule>
    <cfRule type="cellIs" dxfId="17" priority="8" operator="equal">
      <formula>"Not Applicable"</formula>
    </cfRule>
  </conditionalFormatting>
  <conditionalFormatting sqref="G15:H15">
    <cfRule type="cellIs" dxfId="16" priority="9" operator="equal">
      <formula>"Excellence Leader"</formula>
    </cfRule>
    <cfRule type="cellIs" dxfId="15" priority="10" operator="equal">
      <formula>"Gold"</formula>
    </cfRule>
    <cfRule type="cellIs" dxfId="14" priority="11" operator="equal">
      <formula>"Silver"</formula>
    </cfRule>
    <cfRule type="cellIs" dxfId="13" priority="12" operator="equal">
      <formula>"Bronze"</formula>
    </cfRule>
    <cfRule type="cellIs" dxfId="12" priority="13" operator="equal">
      <formula>"Developing"</formula>
    </cfRule>
  </conditionalFormatting>
  <dataValidations count="1">
    <dataValidation type="list" sqref="E19:E22 E24:E27 E29:E30" xr:uid="{00000000-0002-0000-14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5"/>
  <sheetViews>
    <sheetView topLeftCell="A8" workbookViewId="0">
      <selection activeCell="D19" sqref="D19"/>
    </sheetView>
  </sheetViews>
  <sheetFormatPr defaultColWidth="8.6640625" defaultRowHeight="14.25" x14ac:dyDescent="0.45"/>
  <cols>
    <col min="1" max="1" width="7" customWidth="1"/>
    <col min="2" max="2" width="14" customWidth="1"/>
    <col min="3" max="3" width="44" customWidth="1"/>
    <col min="4" max="4" width="65" customWidth="1"/>
    <col min="5" max="5" width="16" customWidth="1"/>
    <col min="6" max="6" width="12" customWidth="1"/>
    <col min="7" max="7" width="6" customWidth="1"/>
    <col min="8" max="8" width="30" customWidth="1"/>
    <col min="9" max="9" width="28" customWidth="1"/>
    <col min="10" max="10" width="16" customWidth="1"/>
    <col min="11" max="11" width="26" customWidth="1"/>
    <col min="13" max="15" width="13" hidden="1" customWidth="1"/>
  </cols>
  <sheetData>
    <row r="1" spans="1:14" ht="27.75" customHeight="1" x14ac:dyDescent="0.45">
      <c r="A1" s="129" t="s">
        <v>1480</v>
      </c>
      <c r="B1" s="86"/>
      <c r="C1" s="86"/>
      <c r="D1" s="86"/>
      <c r="E1" s="86"/>
      <c r="F1" s="86"/>
      <c r="G1" s="86"/>
      <c r="H1" s="86"/>
      <c r="I1" s="86"/>
      <c r="J1" s="86"/>
      <c r="K1" s="97"/>
      <c r="M1" s="54" t="s">
        <v>90</v>
      </c>
      <c r="N1" s="54" t="s">
        <v>185</v>
      </c>
    </row>
    <row r="2" spans="1:14" ht="15.75" customHeight="1" x14ac:dyDescent="0.45">
      <c r="A2" s="128" t="s">
        <v>1481</v>
      </c>
      <c r="B2" s="86"/>
      <c r="C2" s="86"/>
      <c r="D2" s="86"/>
      <c r="E2" s="86"/>
      <c r="F2" s="86"/>
      <c r="G2" s="86"/>
      <c r="H2" s="86"/>
      <c r="I2" s="86"/>
      <c r="J2" s="86"/>
      <c r="K2" s="97"/>
      <c r="M2" s="55" t="s">
        <v>93</v>
      </c>
      <c r="N2" s="55">
        <v>100</v>
      </c>
    </row>
    <row r="3" spans="1:14" ht="15" customHeight="1" x14ac:dyDescent="0.45">
      <c r="M3" s="55" t="s">
        <v>94</v>
      </c>
      <c r="N3" s="55">
        <v>100</v>
      </c>
    </row>
    <row r="4" spans="1:14" ht="18" customHeight="1" x14ac:dyDescent="0.45">
      <c r="A4" s="56" t="s">
        <v>84</v>
      </c>
      <c r="B4" s="125" t="str">
        <f>'Pre-Audit Scoping'!D5</f>
        <v xml:space="preserve">Test </v>
      </c>
      <c r="C4" s="97"/>
      <c r="D4" s="56" t="s">
        <v>85</v>
      </c>
      <c r="E4" s="125" t="str">
        <f>'Pre-Audit Scoping'!D10</f>
        <v>July 7-9 2026</v>
      </c>
      <c r="F4" s="97"/>
      <c r="G4" s="56" t="s">
        <v>86</v>
      </c>
      <c r="H4" s="125" t="str">
        <f>TRIM('Pre-Audit Scoping'!D11)&amp;IF(TRIM('Pre-Audit Scoping'!D12)&lt;&gt;"",", "&amp;TRIM('Pre-Audit Scoping'!D12),"")</f>
        <v>Sara Wallon, Gabriel Wallon</v>
      </c>
      <c r="I4" s="86"/>
      <c r="J4" s="86"/>
      <c r="K4" s="97"/>
      <c r="M4" s="55" t="s">
        <v>96</v>
      </c>
      <c r="N4" s="55">
        <v>85</v>
      </c>
    </row>
    <row r="5" spans="1:14" ht="15" customHeight="1" x14ac:dyDescent="0.45">
      <c r="M5" s="55" t="s">
        <v>97</v>
      </c>
      <c r="N5" s="55">
        <v>70</v>
      </c>
    </row>
    <row r="6" spans="1:14" ht="19.5" customHeight="1" x14ac:dyDescent="0.45">
      <c r="A6" s="124" t="s">
        <v>187</v>
      </c>
      <c r="B6" s="86"/>
      <c r="C6" s="86"/>
      <c r="D6" s="86"/>
      <c r="E6" s="86"/>
      <c r="F6" s="86"/>
      <c r="G6" s="86"/>
      <c r="H6" s="86"/>
      <c r="I6" s="86"/>
      <c r="J6" s="86"/>
      <c r="K6" s="97"/>
      <c r="M6" s="55" t="s">
        <v>98</v>
      </c>
      <c r="N6" s="55">
        <v>30</v>
      </c>
    </row>
    <row r="7" spans="1:14" ht="15.75" customHeight="1" x14ac:dyDescent="0.45">
      <c r="A7" s="57" t="s">
        <v>188</v>
      </c>
      <c r="B7" s="57" t="s">
        <v>159</v>
      </c>
      <c r="C7" s="57" t="s">
        <v>160</v>
      </c>
      <c r="D7" s="57" t="s">
        <v>189</v>
      </c>
      <c r="E7" s="58"/>
      <c r="F7" s="57" t="s">
        <v>5</v>
      </c>
      <c r="G7" s="57" t="s">
        <v>91</v>
      </c>
      <c r="M7" s="55" t="s">
        <v>99</v>
      </c>
      <c r="N7" s="55">
        <v>0</v>
      </c>
    </row>
    <row r="8" spans="1:14" ht="15" customHeight="1" x14ac:dyDescent="0.55000000000000004">
      <c r="A8" s="59" t="s">
        <v>190</v>
      </c>
      <c r="B8" s="60">
        <f>SUM(F18:F35)</f>
        <v>0</v>
      </c>
      <c r="C8" s="60">
        <f>SUM(O18:O35)</f>
        <v>96</v>
      </c>
      <c r="D8" s="61">
        <f>IF(C8&lt;&gt;0,B8/C8,"N/A")</f>
        <v>0</v>
      </c>
      <c r="F8" s="47" t="s">
        <v>93</v>
      </c>
      <c r="G8" s="62">
        <f>COUNTIF(E18:E35,"Best Practice")</f>
        <v>0</v>
      </c>
      <c r="M8" s="55" t="s">
        <v>191</v>
      </c>
      <c r="N8" s="55">
        <v>0</v>
      </c>
    </row>
    <row r="9" spans="1:14" ht="15" customHeight="1" x14ac:dyDescent="0.45">
      <c r="F9" s="47" t="s">
        <v>94</v>
      </c>
      <c r="G9" s="62">
        <f>COUNTIF(E18:E35,"Verified")</f>
        <v>0</v>
      </c>
    </row>
    <row r="10" spans="1:14" ht="15" customHeight="1" x14ac:dyDescent="0.45">
      <c r="F10" s="47" t="s">
        <v>96</v>
      </c>
      <c r="G10" s="62">
        <f>COUNTIF(E18:E35,"Low")</f>
        <v>0</v>
      </c>
    </row>
    <row r="11" spans="1:14" ht="15" customHeight="1" x14ac:dyDescent="0.45">
      <c r="F11" s="47" t="s">
        <v>97</v>
      </c>
      <c r="G11" s="62">
        <f>COUNTIF(E18:E35,"Moderate")</f>
        <v>0</v>
      </c>
    </row>
    <row r="12" spans="1:14" ht="15" customHeight="1" x14ac:dyDescent="0.45">
      <c r="F12" s="47" t="s">
        <v>98</v>
      </c>
      <c r="G12" s="62">
        <f>COUNTIF(E18:E35,"High")</f>
        <v>0</v>
      </c>
    </row>
    <row r="13" spans="1:14" ht="15" customHeight="1" x14ac:dyDescent="0.45">
      <c r="F13" s="47" t="s">
        <v>99</v>
      </c>
      <c r="G13" s="62">
        <f>COUNTIF(E18:E35,"Very High")</f>
        <v>0</v>
      </c>
    </row>
    <row r="14" spans="1:14" ht="21.75" customHeight="1" x14ac:dyDescent="0.45">
      <c r="F14" s="47" t="s">
        <v>191</v>
      </c>
      <c r="G14" s="62">
        <f>COUNTIF(E18:E35,"Not Applicable")</f>
        <v>0</v>
      </c>
    </row>
    <row r="15" spans="1:14" ht="19.5" customHeight="1" x14ac:dyDescent="0.6">
      <c r="A15" s="63" t="s">
        <v>151</v>
      </c>
      <c r="D15" s="64">
        <f>D8</f>
        <v>0</v>
      </c>
      <c r="F15" s="56" t="s">
        <v>192</v>
      </c>
      <c r="G15" s="127" t="str">
        <f>IF(D8="N/A","N/A",IF(D8&gt;=0.99,"Excellence Leader",IF(D8&gt;=0.9,"Gold",IF(D8&gt;=0.8,"Silver",IF(D8&gt;=0.51,"Bronze","Developing")))))</f>
        <v>Developing</v>
      </c>
      <c r="H15" s="97"/>
    </row>
    <row r="17" spans="1:15" ht="30" customHeight="1" x14ac:dyDescent="0.45">
      <c r="A17" s="65" t="s">
        <v>4</v>
      </c>
      <c r="B17" s="65" t="s">
        <v>193</v>
      </c>
      <c r="C17" s="65" t="s">
        <v>6</v>
      </c>
      <c r="D17" s="65" t="s">
        <v>194</v>
      </c>
      <c r="E17" s="65" t="s">
        <v>5</v>
      </c>
      <c r="F17" s="65" t="s">
        <v>159</v>
      </c>
      <c r="G17" s="65" t="s">
        <v>160</v>
      </c>
      <c r="H17" s="65" t="s">
        <v>7</v>
      </c>
      <c r="I17" s="65" t="s">
        <v>8</v>
      </c>
      <c r="J17" s="65" t="s">
        <v>9</v>
      </c>
      <c r="K17" s="65" t="s">
        <v>10</v>
      </c>
      <c r="O17" s="66" t="s">
        <v>195</v>
      </c>
    </row>
    <row r="18" spans="1:15" ht="15.75" customHeight="1" x14ac:dyDescent="0.45">
      <c r="A18" s="126" t="s">
        <v>1482</v>
      </c>
      <c r="B18" s="86"/>
      <c r="C18" s="86"/>
      <c r="D18" s="86"/>
      <c r="E18" s="86"/>
      <c r="F18" s="86"/>
      <c r="G18" s="86"/>
      <c r="H18" s="86"/>
      <c r="I18" s="86"/>
      <c r="J18" s="86"/>
      <c r="K18" s="97"/>
    </row>
    <row r="19" spans="1:15" ht="108" customHeight="1" x14ac:dyDescent="0.45">
      <c r="A19" s="67" t="s">
        <v>1483</v>
      </c>
      <c r="B19" s="47" t="s">
        <v>1484</v>
      </c>
      <c r="C19" s="47" t="s">
        <v>1485</v>
      </c>
      <c r="D19" s="68" t="s">
        <v>1486</v>
      </c>
      <c r="E19" s="48" t="s">
        <v>319</v>
      </c>
      <c r="F19" s="69">
        <f>IFERROR(ROUND(G19*VLOOKUP(E19,$M$2:$N$8,2,FALSE())/100,1),0)</f>
        <v>0</v>
      </c>
      <c r="G19" s="48">
        <v>10</v>
      </c>
      <c r="H19" s="47"/>
      <c r="I19" s="47"/>
      <c r="J19" s="70" t="s">
        <v>1487</v>
      </c>
      <c r="K19" s="47"/>
      <c r="O19" s="55">
        <f>IF(E19="Not Applicable",0,G19)</f>
        <v>10</v>
      </c>
    </row>
    <row r="20" spans="1:15" ht="84" customHeight="1" x14ac:dyDescent="0.45">
      <c r="A20" s="67" t="s">
        <v>1488</v>
      </c>
      <c r="B20" s="47" t="s">
        <v>1484</v>
      </c>
      <c r="C20" s="47" t="s">
        <v>1489</v>
      </c>
      <c r="D20" s="68" t="s">
        <v>1490</v>
      </c>
      <c r="E20" s="48" t="s">
        <v>319</v>
      </c>
      <c r="F20" s="69">
        <f>IFERROR(ROUND(G20*VLOOKUP(E20,$M$2:$N$8,2,FALSE())/100,1),0)</f>
        <v>0</v>
      </c>
      <c r="G20" s="48">
        <v>8</v>
      </c>
      <c r="H20" s="47"/>
      <c r="I20" s="47"/>
      <c r="J20" s="70" t="s">
        <v>1491</v>
      </c>
      <c r="K20" s="47"/>
      <c r="O20" s="55">
        <f>IF(E20="Not Applicable",0,G20)</f>
        <v>8</v>
      </c>
    </row>
    <row r="21" spans="1:15" ht="72" customHeight="1" x14ac:dyDescent="0.45">
      <c r="A21" s="67" t="s">
        <v>1492</v>
      </c>
      <c r="B21" s="47" t="s">
        <v>1484</v>
      </c>
      <c r="C21" s="47" t="s">
        <v>1493</v>
      </c>
      <c r="D21" s="68" t="s">
        <v>1494</v>
      </c>
      <c r="E21" s="48" t="s">
        <v>319</v>
      </c>
      <c r="F21" s="69">
        <f>IFERROR(ROUND(G21*VLOOKUP(E21,$M$2:$N$8,2,FALSE())/100,1),0)</f>
        <v>0</v>
      </c>
      <c r="G21" s="48">
        <v>8</v>
      </c>
      <c r="H21" s="47"/>
      <c r="I21" s="47"/>
      <c r="J21" s="70" t="s">
        <v>1495</v>
      </c>
      <c r="K21" s="47"/>
      <c r="O21" s="55">
        <f>IF(E21="Not Applicable",0,G21)</f>
        <v>8</v>
      </c>
    </row>
    <row r="22" spans="1:15" ht="72" customHeight="1" x14ac:dyDescent="0.45">
      <c r="A22" s="67" t="s">
        <v>1496</v>
      </c>
      <c r="B22" s="47" t="s">
        <v>1484</v>
      </c>
      <c r="C22" s="47" t="s">
        <v>1497</v>
      </c>
      <c r="D22" s="68" t="s">
        <v>1498</v>
      </c>
      <c r="E22" s="48" t="s">
        <v>319</v>
      </c>
      <c r="F22" s="69">
        <f>IFERROR(ROUND(G22*VLOOKUP(E22,$M$2:$N$8,2,FALSE())/100,1),0)</f>
        <v>0</v>
      </c>
      <c r="G22" s="48">
        <v>8</v>
      </c>
      <c r="H22" s="47"/>
      <c r="I22" s="47"/>
      <c r="J22" s="70" t="s">
        <v>1499</v>
      </c>
      <c r="K22" s="47"/>
      <c r="O22" s="55">
        <f>IF(E22="Not Applicable",0,G22)</f>
        <v>8</v>
      </c>
    </row>
    <row r="23" spans="1:15" ht="108" customHeight="1" x14ac:dyDescent="0.45">
      <c r="A23" s="67" t="s">
        <v>1500</v>
      </c>
      <c r="B23" s="47" t="s">
        <v>1484</v>
      </c>
      <c r="C23" s="47" t="s">
        <v>1501</v>
      </c>
      <c r="D23" s="68" t="s">
        <v>1502</v>
      </c>
      <c r="E23" s="48" t="s">
        <v>319</v>
      </c>
      <c r="F23" s="69">
        <f>IFERROR(ROUND(G23*VLOOKUP(E23,$M$2:$N$8,2,FALSE())/100,1),0)</f>
        <v>0</v>
      </c>
      <c r="G23" s="48">
        <v>8</v>
      </c>
      <c r="H23" s="47"/>
      <c r="I23" s="47"/>
      <c r="J23" s="70" t="s">
        <v>1503</v>
      </c>
      <c r="K23" s="47"/>
      <c r="O23" s="55">
        <f>IF(E23="Not Applicable",0,G23)</f>
        <v>8</v>
      </c>
    </row>
    <row r="24" spans="1:15" ht="15.75" customHeight="1" x14ac:dyDescent="0.45">
      <c r="A24" s="126" t="s">
        <v>1504</v>
      </c>
      <c r="B24" s="86"/>
      <c r="C24" s="86"/>
      <c r="D24" s="86"/>
      <c r="E24" s="86"/>
      <c r="F24" s="86"/>
      <c r="G24" s="86"/>
      <c r="H24" s="86"/>
      <c r="I24" s="86"/>
      <c r="J24" s="86"/>
      <c r="K24" s="97"/>
    </row>
    <row r="25" spans="1:15" ht="96" customHeight="1" x14ac:dyDescent="0.45">
      <c r="A25" s="67" t="s">
        <v>1505</v>
      </c>
      <c r="B25" s="47" t="s">
        <v>1506</v>
      </c>
      <c r="C25" s="47" t="s">
        <v>1507</v>
      </c>
      <c r="D25" s="68" t="s">
        <v>1508</v>
      </c>
      <c r="E25" s="48" t="s">
        <v>319</v>
      </c>
      <c r="F25" s="69">
        <f>IFERROR(ROUND(G25*VLOOKUP(E25,$M$2:$N$8,2,FALSE())/100,1),0)</f>
        <v>0</v>
      </c>
      <c r="G25" s="48">
        <v>10</v>
      </c>
      <c r="H25" s="47"/>
      <c r="I25" s="47"/>
      <c r="J25" s="70" t="s">
        <v>1509</v>
      </c>
      <c r="K25" s="47"/>
      <c r="O25" s="55">
        <f>IF(E25="Not Applicable",0,G25)</f>
        <v>10</v>
      </c>
    </row>
    <row r="26" spans="1:15" ht="84" customHeight="1" x14ac:dyDescent="0.45">
      <c r="A26" s="67" t="s">
        <v>1510</v>
      </c>
      <c r="B26" s="47" t="s">
        <v>1506</v>
      </c>
      <c r="C26" s="47" t="s">
        <v>1511</v>
      </c>
      <c r="D26" s="68" t="s">
        <v>1512</v>
      </c>
      <c r="E26" s="48" t="s">
        <v>319</v>
      </c>
      <c r="F26" s="69">
        <f>IFERROR(ROUND(G26*VLOOKUP(E26,$M$2:$N$8,2,FALSE())/100,1),0)</f>
        <v>0</v>
      </c>
      <c r="G26" s="48">
        <v>6</v>
      </c>
      <c r="H26" s="47"/>
      <c r="I26" s="47"/>
      <c r="J26" s="70" t="s">
        <v>1513</v>
      </c>
      <c r="K26" s="47"/>
      <c r="O26" s="55">
        <f>IF(E26="Not Applicable",0,G26)</f>
        <v>6</v>
      </c>
    </row>
    <row r="27" spans="1:15" ht="15.75" customHeight="1" x14ac:dyDescent="0.45">
      <c r="A27" s="126" t="s">
        <v>1514</v>
      </c>
      <c r="B27" s="86"/>
      <c r="C27" s="86"/>
      <c r="D27" s="86"/>
      <c r="E27" s="86"/>
      <c r="F27" s="86"/>
      <c r="G27" s="86"/>
      <c r="H27" s="86"/>
      <c r="I27" s="86"/>
      <c r="J27" s="86"/>
      <c r="K27" s="97"/>
    </row>
    <row r="28" spans="1:15" ht="72" customHeight="1" x14ac:dyDescent="0.45">
      <c r="A28" s="67" t="s">
        <v>1515</v>
      </c>
      <c r="B28" s="47" t="s">
        <v>1516</v>
      </c>
      <c r="C28" s="47" t="s">
        <v>1517</v>
      </c>
      <c r="D28" s="68" t="s">
        <v>1518</v>
      </c>
      <c r="E28" s="48" t="s">
        <v>319</v>
      </c>
      <c r="F28" s="69">
        <f>IFERROR(ROUND(G28*VLOOKUP(E28,$M$2:$N$8,2,FALSE())/100,1),0)</f>
        <v>0</v>
      </c>
      <c r="G28" s="48">
        <v>6</v>
      </c>
      <c r="H28" s="47"/>
      <c r="I28" s="47"/>
      <c r="J28" s="70" t="s">
        <v>1519</v>
      </c>
      <c r="K28" s="47"/>
      <c r="O28" s="55">
        <f>IF(E28="Not Applicable",0,G28)</f>
        <v>6</v>
      </c>
    </row>
    <row r="29" spans="1:15" ht="72" customHeight="1" x14ac:dyDescent="0.45">
      <c r="A29" s="67" t="s">
        <v>1520</v>
      </c>
      <c r="B29" s="47" t="s">
        <v>1516</v>
      </c>
      <c r="C29" s="47" t="s">
        <v>1521</v>
      </c>
      <c r="D29" s="68" t="s">
        <v>1522</v>
      </c>
      <c r="E29" s="48" t="s">
        <v>319</v>
      </c>
      <c r="F29" s="69">
        <f>IFERROR(ROUND(G29*VLOOKUP(E29,$M$2:$N$8,2,FALSE())/100,1),0)</f>
        <v>0</v>
      </c>
      <c r="G29" s="48">
        <v>6</v>
      </c>
      <c r="H29" s="47"/>
      <c r="I29" s="47"/>
      <c r="J29" s="70" t="s">
        <v>1523</v>
      </c>
      <c r="K29" s="47"/>
      <c r="O29" s="55">
        <f>IF(E29="Not Applicable",0,G29)</f>
        <v>6</v>
      </c>
    </row>
    <row r="30" spans="1:15" ht="96" customHeight="1" x14ac:dyDescent="0.45">
      <c r="A30" s="67" t="s">
        <v>1524</v>
      </c>
      <c r="B30" s="47" t="s">
        <v>1516</v>
      </c>
      <c r="C30" s="47" t="s">
        <v>1525</v>
      </c>
      <c r="D30" s="68" t="s">
        <v>1526</v>
      </c>
      <c r="E30" s="48" t="s">
        <v>319</v>
      </c>
      <c r="F30" s="69">
        <f>IFERROR(ROUND(G30*VLOOKUP(E30,$M$2:$N$8,2,FALSE())/100,1),0)</f>
        <v>0</v>
      </c>
      <c r="G30" s="48">
        <v>6</v>
      </c>
      <c r="H30" s="47"/>
      <c r="I30" s="47"/>
      <c r="J30" s="70" t="s">
        <v>1527</v>
      </c>
      <c r="K30" s="47"/>
      <c r="O30" s="55">
        <f>IF(E30="Not Applicable",0,G30)</f>
        <v>6</v>
      </c>
    </row>
    <row r="31" spans="1:15" ht="84" customHeight="1" x14ac:dyDescent="0.45">
      <c r="A31" s="67" t="s">
        <v>1528</v>
      </c>
      <c r="B31" s="47" t="s">
        <v>1516</v>
      </c>
      <c r="C31" s="47" t="s">
        <v>1529</v>
      </c>
      <c r="D31" s="68" t="s">
        <v>1530</v>
      </c>
      <c r="E31" s="48" t="s">
        <v>319</v>
      </c>
      <c r="F31" s="69">
        <f>IFERROR(ROUND(G31*VLOOKUP(E31,$M$2:$N$8,2,FALSE())/100,1),0)</f>
        <v>0</v>
      </c>
      <c r="G31" s="48">
        <v>5</v>
      </c>
      <c r="H31" s="47"/>
      <c r="I31" s="47"/>
      <c r="J31" s="70" t="s">
        <v>1531</v>
      </c>
      <c r="K31" s="47"/>
      <c r="O31" s="55">
        <f>IF(E31="Not Applicable",0,G31)</f>
        <v>5</v>
      </c>
    </row>
    <row r="32" spans="1:15" ht="96" customHeight="1" x14ac:dyDescent="0.45">
      <c r="A32" s="67" t="s">
        <v>1532</v>
      </c>
      <c r="B32" s="47" t="s">
        <v>1516</v>
      </c>
      <c r="C32" s="47" t="s">
        <v>1533</v>
      </c>
      <c r="D32" s="68" t="s">
        <v>1534</v>
      </c>
      <c r="E32" s="48" t="s">
        <v>319</v>
      </c>
      <c r="F32" s="69">
        <f>IFERROR(ROUND(G32*VLOOKUP(E32,$M$2:$N$8,2,FALSE())/100,1),0)</f>
        <v>0</v>
      </c>
      <c r="G32" s="48">
        <v>5</v>
      </c>
      <c r="H32" s="47"/>
      <c r="I32" s="47"/>
      <c r="J32" s="70" t="s">
        <v>1535</v>
      </c>
      <c r="K32" s="47"/>
      <c r="O32" s="55">
        <f>IF(E32="Not Applicable",0,G32)</f>
        <v>5</v>
      </c>
    </row>
    <row r="33" spans="1:15" ht="15.75" customHeight="1" x14ac:dyDescent="0.45">
      <c r="A33" s="126" t="s">
        <v>1536</v>
      </c>
      <c r="B33" s="86"/>
      <c r="C33" s="86"/>
      <c r="D33" s="86"/>
      <c r="E33" s="86"/>
      <c r="F33" s="86"/>
      <c r="G33" s="86"/>
      <c r="H33" s="86"/>
      <c r="I33" s="86"/>
      <c r="J33" s="86"/>
      <c r="K33" s="97"/>
    </row>
    <row r="34" spans="1:15" ht="120" customHeight="1" x14ac:dyDescent="0.45">
      <c r="A34" s="67" t="s">
        <v>1537</v>
      </c>
      <c r="B34" s="47" t="s">
        <v>1538</v>
      </c>
      <c r="C34" s="47" t="s">
        <v>1539</v>
      </c>
      <c r="D34" s="68" t="s">
        <v>1540</v>
      </c>
      <c r="E34" s="48" t="s">
        <v>319</v>
      </c>
      <c r="F34" s="69">
        <f>IFERROR(ROUND(G34*VLOOKUP(E34,$M$2:$N$8,2,FALSE())/100,1),0)</f>
        <v>0</v>
      </c>
      <c r="G34" s="48">
        <v>5</v>
      </c>
      <c r="H34" s="47"/>
      <c r="I34" s="47"/>
      <c r="J34" s="70" t="s">
        <v>1541</v>
      </c>
      <c r="K34" s="47"/>
      <c r="O34" s="55">
        <f>IF(E34="Not Applicable",0,G34)</f>
        <v>5</v>
      </c>
    </row>
    <row r="35" spans="1:15" ht="120" customHeight="1" x14ac:dyDescent="0.45">
      <c r="A35" s="67" t="s">
        <v>1542</v>
      </c>
      <c r="B35" s="47" t="s">
        <v>1538</v>
      </c>
      <c r="C35" s="47" t="s">
        <v>1543</v>
      </c>
      <c r="D35" s="68" t="s">
        <v>1544</v>
      </c>
      <c r="E35" s="48" t="s">
        <v>319</v>
      </c>
      <c r="F35" s="69">
        <f>IFERROR(ROUND(G35*VLOOKUP(E35,$M$2:$N$8,2,FALSE())/100,1),0)</f>
        <v>0</v>
      </c>
      <c r="G35" s="48">
        <v>5</v>
      </c>
      <c r="H35" s="47"/>
      <c r="I35" s="47"/>
      <c r="J35" s="70" t="s">
        <v>1545</v>
      </c>
      <c r="K35" s="47"/>
      <c r="O35" s="55">
        <f>IF(E35="Not Applicable",0,G35)</f>
        <v>5</v>
      </c>
    </row>
  </sheetData>
  <mergeCells count="11">
    <mergeCell ref="A24:K24"/>
    <mergeCell ref="A33:K33"/>
    <mergeCell ref="A2:K2"/>
    <mergeCell ref="A1:K1"/>
    <mergeCell ref="B4:C4"/>
    <mergeCell ref="A27:K27"/>
    <mergeCell ref="A6:K6"/>
    <mergeCell ref="E4:F4"/>
    <mergeCell ref="H4:K4"/>
    <mergeCell ref="A18:K18"/>
    <mergeCell ref="G15:H15"/>
  </mergeCells>
  <conditionalFormatting sqref="E18:E35">
    <cfRule type="cellIs" dxfId="11" priority="2" operator="equal">
      <formula>"Best Practice"</formula>
    </cfRule>
    <cfRule type="cellIs" dxfId="10" priority="3" operator="equal">
      <formula>"Verified"</formula>
    </cfRule>
    <cfRule type="cellIs" dxfId="9" priority="4" operator="equal">
      <formula>"Low"</formula>
    </cfRule>
    <cfRule type="cellIs" dxfId="8" priority="5" operator="equal">
      <formula>"Moderate"</formula>
    </cfRule>
    <cfRule type="cellIs" dxfId="7" priority="6" operator="equal">
      <formula>"High"</formula>
    </cfRule>
    <cfRule type="cellIs" dxfId="6" priority="7" operator="equal">
      <formula>"Very High"</formula>
    </cfRule>
    <cfRule type="cellIs" dxfId="5" priority="8" operator="equal">
      <formula>"Not Applicable"</formula>
    </cfRule>
  </conditionalFormatting>
  <conditionalFormatting sqref="G15:H15">
    <cfRule type="cellIs" dxfId="4" priority="9" operator="equal">
      <formula>"Excellence Leader"</formula>
    </cfRule>
    <cfRule type="cellIs" dxfId="3" priority="10" operator="equal">
      <formula>"Gold"</formula>
    </cfRule>
    <cfRule type="cellIs" dxfId="2" priority="11" operator="equal">
      <formula>"Silver"</formula>
    </cfRule>
    <cfRule type="cellIs" dxfId="1" priority="12" operator="equal">
      <formula>"Bronze"</formula>
    </cfRule>
    <cfRule type="cellIs" dxfId="0" priority="13" operator="equal">
      <formula>"Developing"</formula>
    </cfRule>
  </conditionalFormatting>
  <dataValidations count="1">
    <dataValidation type="list" sqref="E19:E23 E25:E26 E28:E32 E34:E35" xr:uid="{00000000-0002-0000-15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118"/>
  <sheetViews>
    <sheetView topLeftCell="A7" workbookViewId="0"/>
  </sheetViews>
  <sheetFormatPr defaultColWidth="8.6640625" defaultRowHeight="14.25" x14ac:dyDescent="0.45"/>
  <cols>
    <col min="1" max="1" width="78.796875" bestFit="1" customWidth="1"/>
    <col min="2" max="2" width="18" customWidth="1"/>
    <col min="3" max="4" width="55" customWidth="1"/>
    <col min="5" max="5" width="16" customWidth="1"/>
    <col min="6" max="6" width="7" customWidth="1"/>
    <col min="7" max="7" width="6" customWidth="1"/>
    <col min="8" max="9" width="30" customWidth="1"/>
    <col min="10" max="11" width="22" customWidth="1"/>
    <col min="13" max="13" width="16" customWidth="1"/>
    <col min="14" max="14" width="6" customWidth="1"/>
    <col min="15" max="15" width="8" customWidth="1"/>
  </cols>
  <sheetData>
    <row r="1" spans="1:14" ht="27.75" customHeight="1" x14ac:dyDescent="0.45">
      <c r="A1" s="71" t="s">
        <v>1546</v>
      </c>
      <c r="M1" s="72" t="s">
        <v>90</v>
      </c>
      <c r="N1" s="72" t="s">
        <v>185</v>
      </c>
    </row>
    <row r="2" spans="1:14" ht="27.75" customHeight="1" x14ac:dyDescent="0.45">
      <c r="A2" s="73" t="s">
        <v>1547</v>
      </c>
      <c r="M2" s="74" t="s">
        <v>93</v>
      </c>
      <c r="N2" s="74">
        <v>100</v>
      </c>
    </row>
    <row r="3" spans="1:14" ht="6" customHeight="1" x14ac:dyDescent="0.45">
      <c r="M3" s="74" t="s">
        <v>94</v>
      </c>
      <c r="N3" s="74">
        <v>100</v>
      </c>
    </row>
    <row r="4" spans="1:14" ht="15" customHeight="1" x14ac:dyDescent="0.45">
      <c r="A4" s="1" t="s">
        <v>84</v>
      </c>
      <c r="B4" t="str">
        <f>'Pre-Audit Scoping'!D5</f>
        <v xml:space="preserve">Test </v>
      </c>
      <c r="D4" s="1" t="s">
        <v>85</v>
      </c>
      <c r="E4" t="str">
        <f>'Pre-Audit Scoping'!D10</f>
        <v>July 7-9 2026</v>
      </c>
      <c r="G4" s="1" t="s">
        <v>86</v>
      </c>
      <c r="H4" t="str">
        <f>TRIM('Pre-Audit Scoping'!D11)&amp;IF(TRIM('Pre-Audit Scoping'!D12)&lt;&gt;"",", "&amp;TRIM('Pre-Audit Scoping'!D12),"")</f>
        <v>Sara Wallon, Gabriel Wallon</v>
      </c>
      <c r="M4" s="74" t="s">
        <v>96</v>
      </c>
      <c r="N4" s="74">
        <v>85</v>
      </c>
    </row>
    <row r="5" spans="1:14" ht="15" customHeight="1" x14ac:dyDescent="0.45">
      <c r="A5" s="1" t="s">
        <v>1548</v>
      </c>
      <c r="D5" s="75" t="str">
        <f>'Pre-Audit Scoping'!$D$17</f>
        <v>Maryland (MOSH)</v>
      </c>
      <c r="G5" s="76" t="s">
        <v>1549</v>
      </c>
      <c r="M5" s="74" t="s">
        <v>97</v>
      </c>
      <c r="N5" s="74">
        <v>70</v>
      </c>
    </row>
    <row r="6" spans="1:14" ht="15" customHeight="1" x14ac:dyDescent="0.45">
      <c r="M6" s="74" t="s">
        <v>98</v>
      </c>
      <c r="N6" s="74">
        <v>30</v>
      </c>
    </row>
    <row r="7" spans="1:14" ht="15" customHeight="1" x14ac:dyDescent="0.45">
      <c r="A7" s="77" t="s">
        <v>188</v>
      </c>
      <c r="B7" s="77" t="s">
        <v>159</v>
      </c>
      <c r="C7" s="77" t="s">
        <v>160</v>
      </c>
      <c r="D7" s="77" t="s">
        <v>189</v>
      </c>
      <c r="F7" s="77" t="s">
        <v>5</v>
      </c>
      <c r="G7" s="77" t="s">
        <v>91</v>
      </c>
      <c r="M7" s="74" t="s">
        <v>99</v>
      </c>
      <c r="N7" s="74">
        <v>0</v>
      </c>
    </row>
    <row r="8" spans="1:14" ht="15" customHeight="1" x14ac:dyDescent="0.45">
      <c r="A8" s="78" t="s">
        <v>190</v>
      </c>
      <c r="B8">
        <f ca="1">SUM(F19:F118)</f>
        <v>0</v>
      </c>
      <c r="C8">
        <f ca="1">SUM(O19:O118)</f>
        <v>0</v>
      </c>
      <c r="D8" s="79" t="str">
        <f ca="1">IF(C8&lt;&gt;0,B8/C8,"N/A")</f>
        <v>N/A</v>
      </c>
      <c r="F8" t="s">
        <v>93</v>
      </c>
      <c r="G8">
        <f>COUNTIF(E19:E118,"Best Practice")</f>
        <v>0</v>
      </c>
      <c r="M8" s="74" t="s">
        <v>191</v>
      </c>
      <c r="N8" s="74">
        <v>0</v>
      </c>
    </row>
    <row r="9" spans="1:14" ht="15" customHeight="1" x14ac:dyDescent="0.45">
      <c r="F9" t="s">
        <v>94</v>
      </c>
      <c r="G9">
        <f>COUNTIF(E19:E118,"Verified")</f>
        <v>0</v>
      </c>
    </row>
    <row r="10" spans="1:14" ht="15" customHeight="1" x14ac:dyDescent="0.45">
      <c r="F10" t="s">
        <v>96</v>
      </c>
      <c r="G10">
        <f>COUNTIF(E19:E118,"Low")</f>
        <v>0</v>
      </c>
    </row>
    <row r="11" spans="1:14" ht="15" customHeight="1" x14ac:dyDescent="0.45">
      <c r="F11" t="s">
        <v>97</v>
      </c>
      <c r="G11">
        <f>COUNTIF(E19:E118,"Moderate")</f>
        <v>0</v>
      </c>
    </row>
    <row r="12" spans="1:14" ht="15" customHeight="1" x14ac:dyDescent="0.45">
      <c r="F12" t="s">
        <v>98</v>
      </c>
      <c r="G12">
        <f>COUNTIF(E19:E118,"High")</f>
        <v>0</v>
      </c>
    </row>
    <row r="13" spans="1:14" ht="15" customHeight="1" x14ac:dyDescent="0.45">
      <c r="F13" t="s">
        <v>99</v>
      </c>
      <c r="G13">
        <f>COUNTIF(E19:E118,"Very High")</f>
        <v>0</v>
      </c>
    </row>
    <row r="14" spans="1:14" ht="15" customHeight="1" x14ac:dyDescent="0.45">
      <c r="F14" t="s">
        <v>191</v>
      </c>
      <c r="G14">
        <f>COUNTIF(E19:E118,"Not Applicable")</f>
        <v>0</v>
      </c>
    </row>
    <row r="15" spans="1:14" ht="15" customHeight="1" x14ac:dyDescent="0.45">
      <c r="A15" s="78" t="s">
        <v>151</v>
      </c>
      <c r="D15" s="79" t="str">
        <f ca="1">D8</f>
        <v>N/A</v>
      </c>
      <c r="F15" t="s">
        <v>192</v>
      </c>
      <c r="G15" t="str">
        <f ca="1">IF(D8="N/A","N/A",IF(D8&gt;=0.99,"Excellence Leader",IF(D8&gt;=0.9,"Gold",IF(D8&gt;=0.8,"Silver",IF(D8&gt;=0.51,"Bronze","Developing")))))</f>
        <v>N/A</v>
      </c>
    </row>
    <row r="17" spans="1:15" ht="30" customHeight="1" x14ac:dyDescent="0.45">
      <c r="A17" s="80" t="s">
        <v>4</v>
      </c>
      <c r="B17" s="80" t="s">
        <v>193</v>
      </c>
      <c r="C17" s="80" t="s">
        <v>6</v>
      </c>
      <c r="D17" s="80" t="s">
        <v>194</v>
      </c>
      <c r="E17" s="80" t="s">
        <v>5</v>
      </c>
      <c r="F17" s="80" t="s">
        <v>159</v>
      </c>
      <c r="G17" s="80" t="s">
        <v>160</v>
      </c>
      <c r="H17" s="80" t="s">
        <v>7</v>
      </c>
      <c r="I17" s="80" t="s">
        <v>8</v>
      </c>
      <c r="J17" s="80" t="s">
        <v>9</v>
      </c>
      <c r="K17" s="80" t="s">
        <v>10</v>
      </c>
    </row>
    <row r="18" spans="1:15" ht="18" customHeight="1" x14ac:dyDescent="0.45">
      <c r="A18" s="77" t="str">
        <f>'Pre-Audit Scoping'!$D$17&amp;" — SUPPLEMENTAL REQUIREMENTS"</f>
        <v>Maryland (MOSH) — SUPPLEMENTAL REQUIREMENTS</v>
      </c>
    </row>
    <row r="19" spans="1:15" ht="15" customHeight="1" x14ac:dyDescent="0.45">
      <c r="A19" s="81" t="str">
        <f ca="1">IFERROR(_xludf.xlookup('Pre-Audit Scoping'!$D$17&amp;"|"&amp;TEXT(1,"00"),State_Data!$I:$I,State_Data!$C:$C,""),"")</f>
        <v/>
      </c>
      <c r="B19" s="81" t="str">
        <f ca="1">IFERROR(_xludf.xlookup('Pre-Audit Scoping'!$D$17&amp;"|"&amp;TEXT(1,"00"),State_Data!$I:$I,State_Data!$D:$D,""),"")</f>
        <v/>
      </c>
      <c r="C19" s="81" t="str">
        <f ca="1">IFERROR(_xludf.xlookup('Pre-Audit Scoping'!$D$17&amp;"|"&amp;TEXT(1,"00"),State_Data!$I:$I,State_Data!$E:$E,""),"")</f>
        <v/>
      </c>
      <c r="D19" s="81" t="str">
        <f ca="1">IFERROR(_xludf.xlookup('Pre-Audit Scoping'!$D$17&amp;"|"&amp;TEXT(1,"00"),State_Data!$I:$I,State_Data!$F:$F,""),"")</f>
        <v/>
      </c>
      <c r="E19" s="81" t="s">
        <v>319</v>
      </c>
      <c r="F19" s="81">
        <f t="shared" ref="F19:F50" ca="1" si="0">IFERROR(ROUND(G19*VLOOKUP(E19,$M$2:$N$8,2,FALSE())/100,1),0)</f>
        <v>0</v>
      </c>
      <c r="G19" s="81">
        <f ca="1">IFERROR(_xludf.xlookup('Pre-Audit Scoping'!$D$17&amp;"|"&amp;TEXT(1,"00"),State_Data!$I:$I,State_Data!$H:$H,0),0)</f>
        <v>0</v>
      </c>
      <c r="H19" s="81"/>
      <c r="I19" s="81"/>
      <c r="J19" s="81" t="str">
        <f ca="1">IFERROR(_xludf.xlookup('Pre-Audit Scoping'!$D$17&amp;"|"&amp;TEXT(1,"00"),State_Data!$I:$I,State_Data!$G:$G,""),"")</f>
        <v/>
      </c>
      <c r="K19" s="81"/>
      <c r="O19">
        <f t="shared" ref="O19:O50" ca="1" si="1">IF(E19="Not Applicable",0,G19)</f>
        <v>0</v>
      </c>
    </row>
    <row r="20" spans="1:15" ht="15" customHeight="1" x14ac:dyDescent="0.45">
      <c r="A20" s="82" t="str">
        <f ca="1">IFERROR(_xludf.xlookup('Pre-Audit Scoping'!$D$17&amp;"|"&amp;TEXT(2,"00"),State_Data!$I:$I,State_Data!$C:$C,""),"")</f>
        <v/>
      </c>
      <c r="B20" s="82" t="str">
        <f ca="1">IFERROR(_xludf.xlookup('Pre-Audit Scoping'!$D$17&amp;"|"&amp;TEXT(2,"00"),State_Data!$I:$I,State_Data!$D:$D,""),"")</f>
        <v/>
      </c>
      <c r="C20" s="82" t="str">
        <f ca="1">IFERROR(_xludf.xlookup('Pre-Audit Scoping'!$D$17&amp;"|"&amp;TEXT(2,"00"),State_Data!$I:$I,State_Data!$E:$E,""),"")</f>
        <v/>
      </c>
      <c r="D20" s="82" t="str">
        <f ca="1">IFERROR(_xludf.xlookup('Pre-Audit Scoping'!$D$17&amp;"|"&amp;TEXT(2,"00"),State_Data!$I:$I,State_Data!$F:$F,""),"")</f>
        <v/>
      </c>
      <c r="E20" s="82" t="s">
        <v>319</v>
      </c>
      <c r="F20" s="82">
        <f t="shared" ca="1" si="0"/>
        <v>0</v>
      </c>
      <c r="G20" s="82">
        <f ca="1">IFERROR(_xludf.xlookup('Pre-Audit Scoping'!$D$17&amp;"|"&amp;TEXT(2,"00"),State_Data!$I:$I,State_Data!$H:$H,0),0)</f>
        <v>0</v>
      </c>
      <c r="H20" s="82"/>
      <c r="I20" s="82"/>
      <c r="J20" s="82" t="str">
        <f ca="1">IFERROR(_xludf.xlookup('Pre-Audit Scoping'!$D$17&amp;"|"&amp;TEXT(2,"00"),State_Data!$I:$I,State_Data!$G:$G,""),"")</f>
        <v/>
      </c>
      <c r="K20" s="82"/>
      <c r="O20">
        <f t="shared" ca="1" si="1"/>
        <v>0</v>
      </c>
    </row>
    <row r="21" spans="1:15" ht="15" customHeight="1" x14ac:dyDescent="0.45">
      <c r="A21" s="81" t="str">
        <f ca="1">IFERROR(_xludf.xlookup('Pre-Audit Scoping'!$D$17&amp;"|"&amp;TEXT(3,"00"),State_Data!$I:$I,State_Data!$C:$C,""),"")</f>
        <v/>
      </c>
      <c r="B21" s="81" t="str">
        <f ca="1">IFERROR(_xludf.xlookup('Pre-Audit Scoping'!$D$17&amp;"|"&amp;TEXT(3,"00"),State_Data!$I:$I,State_Data!$D:$D,""),"")</f>
        <v/>
      </c>
      <c r="C21" s="81" t="str">
        <f ca="1">IFERROR(_xludf.xlookup('Pre-Audit Scoping'!$D$17&amp;"|"&amp;TEXT(3,"00"),State_Data!$I:$I,State_Data!$E:$E,""),"")</f>
        <v/>
      </c>
      <c r="D21" s="81" t="str">
        <f ca="1">IFERROR(_xludf.xlookup('Pre-Audit Scoping'!$D$17&amp;"|"&amp;TEXT(3,"00"),State_Data!$I:$I,State_Data!$F:$F,""),"")</f>
        <v/>
      </c>
      <c r="E21" s="81" t="s">
        <v>319</v>
      </c>
      <c r="F21" s="81">
        <f t="shared" ca="1" si="0"/>
        <v>0</v>
      </c>
      <c r="G21" s="81">
        <f ca="1">IFERROR(_xludf.xlookup('Pre-Audit Scoping'!$D$17&amp;"|"&amp;TEXT(3,"00"),State_Data!$I:$I,State_Data!$H:$H,0),0)</f>
        <v>0</v>
      </c>
      <c r="H21" s="81"/>
      <c r="I21" s="81"/>
      <c r="J21" s="81" t="str">
        <f ca="1">IFERROR(_xludf.xlookup('Pre-Audit Scoping'!$D$17&amp;"|"&amp;TEXT(3,"00"),State_Data!$I:$I,State_Data!$G:$G,""),"")</f>
        <v/>
      </c>
      <c r="K21" s="81"/>
      <c r="O21">
        <f t="shared" ca="1" si="1"/>
        <v>0</v>
      </c>
    </row>
    <row r="22" spans="1:15" ht="15" customHeight="1" x14ac:dyDescent="0.45">
      <c r="A22" s="82" t="str">
        <f ca="1">IFERROR(_xludf.xlookup('Pre-Audit Scoping'!$D$17&amp;"|"&amp;TEXT(4,"00"),State_Data!$I:$I,State_Data!$C:$C,""),"")</f>
        <v/>
      </c>
      <c r="B22" s="82" t="str">
        <f ca="1">IFERROR(_xludf.xlookup('Pre-Audit Scoping'!$D$17&amp;"|"&amp;TEXT(4,"00"),State_Data!$I:$I,State_Data!$D:$D,""),"")</f>
        <v/>
      </c>
      <c r="C22" s="82" t="str">
        <f ca="1">IFERROR(_xludf.xlookup('Pre-Audit Scoping'!$D$17&amp;"|"&amp;TEXT(4,"00"),State_Data!$I:$I,State_Data!$E:$E,""),"")</f>
        <v/>
      </c>
      <c r="D22" s="82" t="str">
        <f ca="1">IFERROR(_xludf.xlookup('Pre-Audit Scoping'!$D$17&amp;"|"&amp;TEXT(4,"00"),State_Data!$I:$I,State_Data!$F:$F,""),"")</f>
        <v/>
      </c>
      <c r="E22" s="82" t="s">
        <v>319</v>
      </c>
      <c r="F22" s="82">
        <f t="shared" ca="1" si="0"/>
        <v>0</v>
      </c>
      <c r="G22" s="82">
        <f ca="1">IFERROR(_xludf.xlookup('Pre-Audit Scoping'!$D$17&amp;"|"&amp;TEXT(4,"00"),State_Data!$I:$I,State_Data!$H:$H,0),0)</f>
        <v>0</v>
      </c>
      <c r="H22" s="82"/>
      <c r="I22" s="82"/>
      <c r="J22" s="82" t="str">
        <f ca="1">IFERROR(_xludf.xlookup('Pre-Audit Scoping'!$D$17&amp;"|"&amp;TEXT(4,"00"),State_Data!$I:$I,State_Data!$G:$G,""),"")</f>
        <v/>
      </c>
      <c r="K22" s="82"/>
      <c r="O22">
        <f t="shared" ca="1" si="1"/>
        <v>0</v>
      </c>
    </row>
    <row r="23" spans="1:15" ht="15" customHeight="1" x14ac:dyDescent="0.45">
      <c r="A23" s="81" t="str">
        <f ca="1">IFERROR(_xludf.xlookup('Pre-Audit Scoping'!$D$17&amp;"|"&amp;TEXT(5,"00"),State_Data!$I:$I,State_Data!$C:$C,""),"")</f>
        <v/>
      </c>
      <c r="B23" s="81" t="str">
        <f ca="1">IFERROR(_xludf.xlookup('Pre-Audit Scoping'!$D$17&amp;"|"&amp;TEXT(5,"00"),State_Data!$I:$I,State_Data!$D:$D,""),"")</f>
        <v/>
      </c>
      <c r="C23" s="81" t="str">
        <f ca="1">IFERROR(_xludf.xlookup('Pre-Audit Scoping'!$D$17&amp;"|"&amp;TEXT(5,"00"),State_Data!$I:$I,State_Data!$E:$E,""),"")</f>
        <v/>
      </c>
      <c r="D23" s="81" t="str">
        <f ca="1">IFERROR(_xludf.xlookup('Pre-Audit Scoping'!$D$17&amp;"|"&amp;TEXT(5,"00"),State_Data!$I:$I,State_Data!$F:$F,""),"")</f>
        <v/>
      </c>
      <c r="E23" s="81" t="s">
        <v>319</v>
      </c>
      <c r="F23" s="81">
        <f t="shared" ca="1" si="0"/>
        <v>0</v>
      </c>
      <c r="G23" s="81">
        <f ca="1">IFERROR(_xludf.xlookup('Pre-Audit Scoping'!$D$17&amp;"|"&amp;TEXT(5,"00"),State_Data!$I:$I,State_Data!$H:$H,0),0)</f>
        <v>0</v>
      </c>
      <c r="H23" s="81"/>
      <c r="I23" s="81"/>
      <c r="J23" s="81" t="str">
        <f ca="1">IFERROR(_xludf.xlookup('Pre-Audit Scoping'!$D$17&amp;"|"&amp;TEXT(5,"00"),State_Data!$I:$I,State_Data!$G:$G,""),"")</f>
        <v/>
      </c>
      <c r="K23" s="81"/>
      <c r="O23">
        <f t="shared" ca="1" si="1"/>
        <v>0</v>
      </c>
    </row>
    <row r="24" spans="1:15" ht="15" customHeight="1" x14ac:dyDescent="0.45">
      <c r="A24" s="82" t="str">
        <f ca="1">IFERROR(_xludf.xlookup('Pre-Audit Scoping'!$D$17&amp;"|"&amp;TEXT(6,"00"),State_Data!$I:$I,State_Data!$C:$C,""),"")</f>
        <v/>
      </c>
      <c r="B24" s="82" t="str">
        <f ca="1">IFERROR(_xludf.xlookup('Pre-Audit Scoping'!$D$17&amp;"|"&amp;TEXT(6,"00"),State_Data!$I:$I,State_Data!$D:$D,""),"")</f>
        <v/>
      </c>
      <c r="C24" s="82" t="str">
        <f ca="1">IFERROR(_xludf.xlookup('Pre-Audit Scoping'!$D$17&amp;"|"&amp;TEXT(6,"00"),State_Data!$I:$I,State_Data!$E:$E,""),"")</f>
        <v/>
      </c>
      <c r="D24" s="82" t="str">
        <f ca="1">IFERROR(_xludf.xlookup('Pre-Audit Scoping'!$D$17&amp;"|"&amp;TEXT(6,"00"),State_Data!$I:$I,State_Data!$F:$F,""),"")</f>
        <v/>
      </c>
      <c r="E24" s="82" t="s">
        <v>319</v>
      </c>
      <c r="F24" s="82">
        <f t="shared" ca="1" si="0"/>
        <v>0</v>
      </c>
      <c r="G24" s="82">
        <f ca="1">IFERROR(_xludf.xlookup('Pre-Audit Scoping'!$D$17&amp;"|"&amp;TEXT(6,"00"),State_Data!$I:$I,State_Data!$H:$H,0),0)</f>
        <v>0</v>
      </c>
      <c r="H24" s="82"/>
      <c r="I24" s="82"/>
      <c r="J24" s="82" t="str">
        <f ca="1">IFERROR(_xludf.xlookup('Pre-Audit Scoping'!$D$17&amp;"|"&amp;TEXT(6,"00"),State_Data!$I:$I,State_Data!$G:$G,""),"")</f>
        <v/>
      </c>
      <c r="K24" s="82"/>
      <c r="O24">
        <f t="shared" ca="1" si="1"/>
        <v>0</v>
      </c>
    </row>
    <row r="25" spans="1:15" ht="15" customHeight="1" x14ac:dyDescent="0.45">
      <c r="A25" s="81" t="str">
        <f ca="1">IFERROR(_xludf.xlookup('Pre-Audit Scoping'!$D$17&amp;"|"&amp;TEXT(7,"00"),State_Data!$I:$I,State_Data!$C:$C,""),"")</f>
        <v/>
      </c>
      <c r="B25" s="81" t="str">
        <f ca="1">IFERROR(_xludf.xlookup('Pre-Audit Scoping'!$D$17&amp;"|"&amp;TEXT(7,"00"),State_Data!$I:$I,State_Data!$D:$D,""),"")</f>
        <v/>
      </c>
      <c r="C25" s="81" t="str">
        <f ca="1">IFERROR(_xludf.xlookup('Pre-Audit Scoping'!$D$17&amp;"|"&amp;TEXT(7,"00"),State_Data!$I:$I,State_Data!$E:$E,""),"")</f>
        <v/>
      </c>
      <c r="D25" s="81" t="str">
        <f ca="1">IFERROR(_xludf.xlookup('Pre-Audit Scoping'!$D$17&amp;"|"&amp;TEXT(7,"00"),State_Data!$I:$I,State_Data!$F:$F,""),"")</f>
        <v/>
      </c>
      <c r="E25" s="81" t="s">
        <v>319</v>
      </c>
      <c r="F25" s="81">
        <f t="shared" ca="1" si="0"/>
        <v>0</v>
      </c>
      <c r="G25" s="81">
        <f ca="1">IFERROR(_xludf.xlookup('Pre-Audit Scoping'!$D$17&amp;"|"&amp;TEXT(7,"00"),State_Data!$I:$I,State_Data!$H:$H,0),0)</f>
        <v>0</v>
      </c>
      <c r="H25" s="81"/>
      <c r="I25" s="81"/>
      <c r="J25" s="81" t="str">
        <f ca="1">IFERROR(_xludf.xlookup('Pre-Audit Scoping'!$D$17&amp;"|"&amp;TEXT(7,"00"),State_Data!$I:$I,State_Data!$G:$G,""),"")</f>
        <v/>
      </c>
      <c r="K25" s="81"/>
      <c r="O25">
        <f t="shared" ca="1" si="1"/>
        <v>0</v>
      </c>
    </row>
    <row r="26" spans="1:15" ht="15" customHeight="1" x14ac:dyDescent="0.45">
      <c r="A26" s="82" t="str">
        <f ca="1">IFERROR(_xludf.xlookup('Pre-Audit Scoping'!$D$17&amp;"|"&amp;TEXT(8,"00"),State_Data!$I:$I,State_Data!$C:$C,""),"")</f>
        <v/>
      </c>
      <c r="B26" s="82" t="str">
        <f ca="1">IFERROR(_xludf.xlookup('Pre-Audit Scoping'!$D$17&amp;"|"&amp;TEXT(8,"00"),State_Data!$I:$I,State_Data!$D:$D,""),"")</f>
        <v/>
      </c>
      <c r="C26" s="82" t="str">
        <f ca="1">IFERROR(_xludf.xlookup('Pre-Audit Scoping'!$D$17&amp;"|"&amp;TEXT(8,"00"),State_Data!$I:$I,State_Data!$E:$E,""),"")</f>
        <v/>
      </c>
      <c r="D26" s="82" t="str">
        <f ca="1">IFERROR(_xludf.xlookup('Pre-Audit Scoping'!$D$17&amp;"|"&amp;TEXT(8,"00"),State_Data!$I:$I,State_Data!$F:$F,""),"")</f>
        <v/>
      </c>
      <c r="E26" s="82" t="s">
        <v>319</v>
      </c>
      <c r="F26" s="82">
        <f t="shared" ca="1" si="0"/>
        <v>0</v>
      </c>
      <c r="G26" s="82">
        <f ca="1">IFERROR(_xludf.xlookup('Pre-Audit Scoping'!$D$17&amp;"|"&amp;TEXT(8,"00"),State_Data!$I:$I,State_Data!$H:$H,0),0)</f>
        <v>0</v>
      </c>
      <c r="H26" s="82"/>
      <c r="I26" s="82"/>
      <c r="J26" s="82" t="str">
        <f ca="1">IFERROR(_xludf.xlookup('Pre-Audit Scoping'!$D$17&amp;"|"&amp;TEXT(8,"00"),State_Data!$I:$I,State_Data!$G:$G,""),"")</f>
        <v/>
      </c>
      <c r="K26" s="82"/>
      <c r="O26">
        <f t="shared" ca="1" si="1"/>
        <v>0</v>
      </c>
    </row>
    <row r="27" spans="1:15" ht="15" customHeight="1" x14ac:dyDescent="0.45">
      <c r="A27" s="81" t="str">
        <f ca="1">IFERROR(_xludf.xlookup('Pre-Audit Scoping'!$D$17&amp;"|"&amp;TEXT(9,"00"),State_Data!$I:$I,State_Data!$C:$C,""),"")</f>
        <v/>
      </c>
      <c r="B27" s="81" t="str">
        <f ca="1">IFERROR(_xludf.xlookup('Pre-Audit Scoping'!$D$17&amp;"|"&amp;TEXT(9,"00"),State_Data!$I:$I,State_Data!$D:$D,""),"")</f>
        <v/>
      </c>
      <c r="C27" s="81" t="str">
        <f ca="1">IFERROR(_xludf.xlookup('Pre-Audit Scoping'!$D$17&amp;"|"&amp;TEXT(9,"00"),State_Data!$I:$I,State_Data!$E:$E,""),"")</f>
        <v/>
      </c>
      <c r="D27" s="81" t="str">
        <f ca="1">IFERROR(_xludf.xlookup('Pre-Audit Scoping'!$D$17&amp;"|"&amp;TEXT(9,"00"),State_Data!$I:$I,State_Data!$F:$F,""),"")</f>
        <v/>
      </c>
      <c r="E27" s="81" t="s">
        <v>319</v>
      </c>
      <c r="F27" s="81">
        <f t="shared" ca="1" si="0"/>
        <v>0</v>
      </c>
      <c r="G27" s="81">
        <f ca="1">IFERROR(_xludf.xlookup('Pre-Audit Scoping'!$D$17&amp;"|"&amp;TEXT(9,"00"),State_Data!$I:$I,State_Data!$H:$H,0),0)</f>
        <v>0</v>
      </c>
      <c r="H27" s="81"/>
      <c r="I27" s="81"/>
      <c r="J27" s="81" t="str">
        <f ca="1">IFERROR(_xludf.xlookup('Pre-Audit Scoping'!$D$17&amp;"|"&amp;TEXT(9,"00"),State_Data!$I:$I,State_Data!$G:$G,""),"")</f>
        <v/>
      </c>
      <c r="K27" s="81"/>
      <c r="O27">
        <f t="shared" ca="1" si="1"/>
        <v>0</v>
      </c>
    </row>
    <row r="28" spans="1:15" ht="15" customHeight="1" x14ac:dyDescent="0.45">
      <c r="A28" s="82" t="str">
        <f ca="1">IFERROR(_xludf.xlookup('Pre-Audit Scoping'!$D$17&amp;"|"&amp;TEXT(10,"00"),State_Data!$I:$I,State_Data!$C:$C,""),"")</f>
        <v/>
      </c>
      <c r="B28" s="82" t="str">
        <f ca="1">IFERROR(_xludf.xlookup('Pre-Audit Scoping'!$D$17&amp;"|"&amp;TEXT(10,"00"),State_Data!$I:$I,State_Data!$D:$D,""),"")</f>
        <v/>
      </c>
      <c r="C28" s="82" t="str">
        <f ca="1">IFERROR(_xludf.xlookup('Pre-Audit Scoping'!$D$17&amp;"|"&amp;TEXT(10,"00"),State_Data!$I:$I,State_Data!$E:$E,""),"")</f>
        <v/>
      </c>
      <c r="D28" s="82" t="str">
        <f ca="1">IFERROR(_xludf.xlookup('Pre-Audit Scoping'!$D$17&amp;"|"&amp;TEXT(10,"00"),State_Data!$I:$I,State_Data!$F:$F,""),"")</f>
        <v/>
      </c>
      <c r="E28" s="82" t="s">
        <v>319</v>
      </c>
      <c r="F28" s="82">
        <f t="shared" ca="1" si="0"/>
        <v>0</v>
      </c>
      <c r="G28" s="82">
        <f ca="1">IFERROR(_xludf.xlookup('Pre-Audit Scoping'!$D$17&amp;"|"&amp;TEXT(10,"00"),State_Data!$I:$I,State_Data!$H:$H,0),0)</f>
        <v>0</v>
      </c>
      <c r="H28" s="82"/>
      <c r="I28" s="82"/>
      <c r="J28" s="82" t="str">
        <f ca="1">IFERROR(_xludf.xlookup('Pre-Audit Scoping'!$D$17&amp;"|"&amp;TEXT(10,"00"),State_Data!$I:$I,State_Data!$G:$G,""),"")</f>
        <v/>
      </c>
      <c r="K28" s="82"/>
      <c r="O28">
        <f t="shared" ca="1" si="1"/>
        <v>0</v>
      </c>
    </row>
    <row r="29" spans="1:15" ht="15" customHeight="1" x14ac:dyDescent="0.45">
      <c r="A29" s="81" t="str">
        <f ca="1">IFERROR(_xludf.xlookup('Pre-Audit Scoping'!$D$17&amp;"|"&amp;TEXT(11,"00"),State_Data!$I:$I,State_Data!$C:$C,""),"")</f>
        <v/>
      </c>
      <c r="B29" s="81" t="str">
        <f ca="1">IFERROR(_xludf.xlookup('Pre-Audit Scoping'!$D$17&amp;"|"&amp;TEXT(11,"00"),State_Data!$I:$I,State_Data!$D:$D,""),"")</f>
        <v/>
      </c>
      <c r="C29" s="81" t="str">
        <f ca="1">IFERROR(_xludf.xlookup('Pre-Audit Scoping'!$D$17&amp;"|"&amp;TEXT(11,"00"),State_Data!$I:$I,State_Data!$E:$E,""),"")</f>
        <v/>
      </c>
      <c r="D29" s="81" t="str">
        <f ca="1">IFERROR(_xludf.xlookup('Pre-Audit Scoping'!$D$17&amp;"|"&amp;TEXT(11,"00"),State_Data!$I:$I,State_Data!$F:$F,""),"")</f>
        <v/>
      </c>
      <c r="E29" s="81" t="s">
        <v>319</v>
      </c>
      <c r="F29" s="81">
        <f t="shared" ca="1" si="0"/>
        <v>0</v>
      </c>
      <c r="G29" s="81">
        <f ca="1">IFERROR(_xludf.xlookup('Pre-Audit Scoping'!$D$17&amp;"|"&amp;TEXT(11,"00"),State_Data!$I:$I,State_Data!$H:$H,0),0)</f>
        <v>0</v>
      </c>
      <c r="H29" s="81"/>
      <c r="I29" s="81"/>
      <c r="J29" s="81" t="str">
        <f ca="1">IFERROR(_xludf.xlookup('Pre-Audit Scoping'!$D$17&amp;"|"&amp;TEXT(11,"00"),State_Data!$I:$I,State_Data!$G:$G,""),"")</f>
        <v/>
      </c>
      <c r="K29" s="81"/>
      <c r="O29">
        <f t="shared" ca="1" si="1"/>
        <v>0</v>
      </c>
    </row>
    <row r="30" spans="1:15" ht="15" customHeight="1" x14ac:dyDescent="0.45">
      <c r="A30" s="82" t="str">
        <f ca="1">IFERROR(_xludf.xlookup('Pre-Audit Scoping'!$D$17&amp;"|"&amp;TEXT(12,"00"),State_Data!$I:$I,State_Data!$C:$C,""),"")</f>
        <v/>
      </c>
      <c r="B30" s="82" t="str">
        <f ca="1">IFERROR(_xludf.xlookup('Pre-Audit Scoping'!$D$17&amp;"|"&amp;TEXT(12,"00"),State_Data!$I:$I,State_Data!$D:$D,""),"")</f>
        <v/>
      </c>
      <c r="C30" s="82" t="str">
        <f ca="1">IFERROR(_xludf.xlookup('Pre-Audit Scoping'!$D$17&amp;"|"&amp;TEXT(12,"00"),State_Data!$I:$I,State_Data!$E:$E,""),"")</f>
        <v/>
      </c>
      <c r="D30" s="82" t="str">
        <f ca="1">IFERROR(_xludf.xlookup('Pre-Audit Scoping'!$D$17&amp;"|"&amp;TEXT(12,"00"),State_Data!$I:$I,State_Data!$F:$F,""),"")</f>
        <v/>
      </c>
      <c r="E30" s="82" t="s">
        <v>319</v>
      </c>
      <c r="F30" s="82">
        <f t="shared" ca="1" si="0"/>
        <v>0</v>
      </c>
      <c r="G30" s="82">
        <f ca="1">IFERROR(_xludf.xlookup('Pre-Audit Scoping'!$D$17&amp;"|"&amp;TEXT(12,"00"),State_Data!$I:$I,State_Data!$H:$H,0),0)</f>
        <v>0</v>
      </c>
      <c r="H30" s="82"/>
      <c r="I30" s="82"/>
      <c r="J30" s="82" t="str">
        <f ca="1">IFERROR(_xludf.xlookup('Pre-Audit Scoping'!$D$17&amp;"|"&amp;TEXT(12,"00"),State_Data!$I:$I,State_Data!$G:$G,""),"")</f>
        <v/>
      </c>
      <c r="K30" s="82"/>
      <c r="O30">
        <f t="shared" ca="1" si="1"/>
        <v>0</v>
      </c>
    </row>
    <row r="31" spans="1:15" ht="15" customHeight="1" x14ac:dyDescent="0.45">
      <c r="A31" s="81" t="str">
        <f ca="1">IFERROR(_xludf.xlookup('Pre-Audit Scoping'!$D$17&amp;"|"&amp;TEXT(13,"00"),State_Data!$I:$I,State_Data!$C:$C,""),"")</f>
        <v/>
      </c>
      <c r="B31" s="81" t="str">
        <f ca="1">IFERROR(_xludf.xlookup('Pre-Audit Scoping'!$D$17&amp;"|"&amp;TEXT(13,"00"),State_Data!$I:$I,State_Data!$D:$D,""),"")</f>
        <v/>
      </c>
      <c r="C31" s="81" t="str">
        <f ca="1">IFERROR(_xludf.xlookup('Pre-Audit Scoping'!$D$17&amp;"|"&amp;TEXT(13,"00"),State_Data!$I:$I,State_Data!$E:$E,""),"")</f>
        <v/>
      </c>
      <c r="D31" s="81" t="str">
        <f ca="1">IFERROR(_xludf.xlookup('Pre-Audit Scoping'!$D$17&amp;"|"&amp;TEXT(13,"00"),State_Data!$I:$I,State_Data!$F:$F,""),"")</f>
        <v/>
      </c>
      <c r="E31" s="81" t="s">
        <v>319</v>
      </c>
      <c r="F31" s="81">
        <f t="shared" ca="1" si="0"/>
        <v>0</v>
      </c>
      <c r="G31" s="81">
        <f ca="1">IFERROR(_xludf.xlookup('Pre-Audit Scoping'!$D$17&amp;"|"&amp;TEXT(13,"00"),State_Data!$I:$I,State_Data!$H:$H,0),0)</f>
        <v>0</v>
      </c>
      <c r="H31" s="81"/>
      <c r="I31" s="81"/>
      <c r="J31" s="81" t="str">
        <f ca="1">IFERROR(_xludf.xlookup('Pre-Audit Scoping'!$D$17&amp;"|"&amp;TEXT(13,"00"),State_Data!$I:$I,State_Data!$G:$G,""),"")</f>
        <v/>
      </c>
      <c r="K31" s="81"/>
      <c r="O31">
        <f t="shared" ca="1" si="1"/>
        <v>0</v>
      </c>
    </row>
    <row r="32" spans="1:15" ht="15" customHeight="1" x14ac:dyDescent="0.45">
      <c r="A32" s="82" t="str">
        <f ca="1">IFERROR(_xludf.xlookup('Pre-Audit Scoping'!$D$17&amp;"|"&amp;TEXT(14,"00"),State_Data!$I:$I,State_Data!$C:$C,""),"")</f>
        <v/>
      </c>
      <c r="B32" s="82" t="str">
        <f ca="1">IFERROR(_xludf.xlookup('Pre-Audit Scoping'!$D$17&amp;"|"&amp;TEXT(14,"00"),State_Data!$I:$I,State_Data!$D:$D,""),"")</f>
        <v/>
      </c>
      <c r="C32" s="82" t="str">
        <f ca="1">IFERROR(_xludf.xlookup('Pre-Audit Scoping'!$D$17&amp;"|"&amp;TEXT(14,"00"),State_Data!$I:$I,State_Data!$E:$E,""),"")</f>
        <v/>
      </c>
      <c r="D32" s="82" t="str">
        <f ca="1">IFERROR(_xludf.xlookup('Pre-Audit Scoping'!$D$17&amp;"|"&amp;TEXT(14,"00"),State_Data!$I:$I,State_Data!$F:$F,""),"")</f>
        <v/>
      </c>
      <c r="E32" s="82" t="s">
        <v>319</v>
      </c>
      <c r="F32" s="82">
        <f t="shared" ca="1" si="0"/>
        <v>0</v>
      </c>
      <c r="G32" s="82">
        <f ca="1">IFERROR(_xludf.xlookup('Pre-Audit Scoping'!$D$17&amp;"|"&amp;TEXT(14,"00"),State_Data!$I:$I,State_Data!$H:$H,0),0)</f>
        <v>0</v>
      </c>
      <c r="H32" s="82"/>
      <c r="I32" s="82"/>
      <c r="J32" s="82" t="str">
        <f ca="1">IFERROR(_xludf.xlookup('Pre-Audit Scoping'!$D$17&amp;"|"&amp;TEXT(14,"00"),State_Data!$I:$I,State_Data!$G:$G,""),"")</f>
        <v/>
      </c>
      <c r="K32" s="82"/>
      <c r="O32">
        <f t="shared" ca="1" si="1"/>
        <v>0</v>
      </c>
    </row>
    <row r="33" spans="1:15" ht="15" customHeight="1" x14ac:dyDescent="0.45">
      <c r="A33" s="81" t="str">
        <f ca="1">IFERROR(_xludf.xlookup('Pre-Audit Scoping'!$D$17&amp;"|"&amp;TEXT(15,"00"),State_Data!$I:$I,State_Data!$C:$C,""),"")</f>
        <v/>
      </c>
      <c r="B33" s="81" t="str">
        <f ca="1">IFERROR(_xludf.xlookup('Pre-Audit Scoping'!$D$17&amp;"|"&amp;TEXT(15,"00"),State_Data!$I:$I,State_Data!$D:$D,""),"")</f>
        <v/>
      </c>
      <c r="C33" s="81" t="str">
        <f ca="1">IFERROR(_xludf.xlookup('Pre-Audit Scoping'!$D$17&amp;"|"&amp;TEXT(15,"00"),State_Data!$I:$I,State_Data!$E:$E,""),"")</f>
        <v/>
      </c>
      <c r="D33" s="81" t="str">
        <f ca="1">IFERROR(_xludf.xlookup('Pre-Audit Scoping'!$D$17&amp;"|"&amp;TEXT(15,"00"),State_Data!$I:$I,State_Data!$F:$F,""),"")</f>
        <v/>
      </c>
      <c r="E33" s="81" t="s">
        <v>319</v>
      </c>
      <c r="F33" s="81">
        <f t="shared" ca="1" si="0"/>
        <v>0</v>
      </c>
      <c r="G33" s="81">
        <f ca="1">IFERROR(_xludf.xlookup('Pre-Audit Scoping'!$D$17&amp;"|"&amp;TEXT(15,"00"),State_Data!$I:$I,State_Data!$H:$H,0),0)</f>
        <v>0</v>
      </c>
      <c r="H33" s="81"/>
      <c r="I33" s="81"/>
      <c r="J33" s="81" t="str">
        <f ca="1">IFERROR(_xludf.xlookup('Pre-Audit Scoping'!$D$17&amp;"|"&amp;TEXT(15,"00"),State_Data!$I:$I,State_Data!$G:$G,""),"")</f>
        <v/>
      </c>
      <c r="K33" s="81"/>
      <c r="O33">
        <f t="shared" ca="1" si="1"/>
        <v>0</v>
      </c>
    </row>
    <row r="34" spans="1:15" ht="15" customHeight="1" x14ac:dyDescent="0.45">
      <c r="A34" s="82" t="str">
        <f ca="1">IFERROR(_xludf.xlookup('Pre-Audit Scoping'!$D$17&amp;"|"&amp;TEXT(16,"00"),State_Data!$I:$I,State_Data!$C:$C,""),"")</f>
        <v/>
      </c>
      <c r="B34" s="82" t="str">
        <f ca="1">IFERROR(_xludf.xlookup('Pre-Audit Scoping'!$D$17&amp;"|"&amp;TEXT(16,"00"),State_Data!$I:$I,State_Data!$D:$D,""),"")</f>
        <v/>
      </c>
      <c r="C34" s="82" t="str">
        <f ca="1">IFERROR(_xludf.xlookup('Pre-Audit Scoping'!$D$17&amp;"|"&amp;TEXT(16,"00"),State_Data!$I:$I,State_Data!$E:$E,""),"")</f>
        <v/>
      </c>
      <c r="D34" s="82" t="str">
        <f ca="1">IFERROR(_xludf.xlookup('Pre-Audit Scoping'!$D$17&amp;"|"&amp;TEXT(16,"00"),State_Data!$I:$I,State_Data!$F:$F,""),"")</f>
        <v/>
      </c>
      <c r="E34" s="82" t="s">
        <v>319</v>
      </c>
      <c r="F34" s="82">
        <f t="shared" ca="1" si="0"/>
        <v>0</v>
      </c>
      <c r="G34" s="82">
        <f ca="1">IFERROR(_xludf.xlookup('Pre-Audit Scoping'!$D$17&amp;"|"&amp;TEXT(16,"00"),State_Data!$I:$I,State_Data!$H:$H,0),0)</f>
        <v>0</v>
      </c>
      <c r="H34" s="82"/>
      <c r="I34" s="82"/>
      <c r="J34" s="82" t="str">
        <f ca="1">IFERROR(_xludf.xlookup('Pre-Audit Scoping'!$D$17&amp;"|"&amp;TEXT(16,"00"),State_Data!$I:$I,State_Data!$G:$G,""),"")</f>
        <v/>
      </c>
      <c r="K34" s="82"/>
      <c r="O34">
        <f t="shared" ca="1" si="1"/>
        <v>0</v>
      </c>
    </row>
    <row r="35" spans="1:15" ht="15" customHeight="1" x14ac:dyDescent="0.45">
      <c r="A35" s="81" t="str">
        <f ca="1">IFERROR(_xludf.xlookup('Pre-Audit Scoping'!$D$17&amp;"|"&amp;TEXT(17,"00"),State_Data!$I:$I,State_Data!$C:$C,""),"")</f>
        <v/>
      </c>
      <c r="B35" s="81" t="str">
        <f ca="1">IFERROR(_xludf.xlookup('Pre-Audit Scoping'!$D$17&amp;"|"&amp;TEXT(17,"00"),State_Data!$I:$I,State_Data!$D:$D,""),"")</f>
        <v/>
      </c>
      <c r="C35" s="81" t="str">
        <f ca="1">IFERROR(_xludf.xlookup('Pre-Audit Scoping'!$D$17&amp;"|"&amp;TEXT(17,"00"),State_Data!$I:$I,State_Data!$E:$E,""),"")</f>
        <v/>
      </c>
      <c r="D35" s="81" t="str">
        <f ca="1">IFERROR(_xludf.xlookup('Pre-Audit Scoping'!$D$17&amp;"|"&amp;TEXT(17,"00"),State_Data!$I:$I,State_Data!$F:$F,""),"")</f>
        <v/>
      </c>
      <c r="E35" s="81" t="s">
        <v>319</v>
      </c>
      <c r="F35" s="81">
        <f t="shared" ca="1" si="0"/>
        <v>0</v>
      </c>
      <c r="G35" s="81">
        <f ca="1">IFERROR(_xludf.xlookup('Pre-Audit Scoping'!$D$17&amp;"|"&amp;TEXT(17,"00"),State_Data!$I:$I,State_Data!$H:$H,0),0)</f>
        <v>0</v>
      </c>
      <c r="H35" s="81"/>
      <c r="I35" s="81"/>
      <c r="J35" s="81" t="str">
        <f ca="1">IFERROR(_xludf.xlookup('Pre-Audit Scoping'!$D$17&amp;"|"&amp;TEXT(17,"00"),State_Data!$I:$I,State_Data!$G:$G,""),"")</f>
        <v/>
      </c>
      <c r="K35" s="81"/>
      <c r="O35">
        <f t="shared" ca="1" si="1"/>
        <v>0</v>
      </c>
    </row>
    <row r="36" spans="1:15" ht="15" customHeight="1" x14ac:dyDescent="0.45">
      <c r="A36" s="82" t="str">
        <f ca="1">IFERROR(_xludf.xlookup('Pre-Audit Scoping'!$D$17&amp;"|"&amp;TEXT(18,"00"),State_Data!$I:$I,State_Data!$C:$C,""),"")</f>
        <v/>
      </c>
      <c r="B36" s="82" t="str">
        <f ca="1">IFERROR(_xludf.xlookup('Pre-Audit Scoping'!$D$17&amp;"|"&amp;TEXT(18,"00"),State_Data!$I:$I,State_Data!$D:$D,""),"")</f>
        <v/>
      </c>
      <c r="C36" s="82" t="str">
        <f ca="1">IFERROR(_xludf.xlookup('Pre-Audit Scoping'!$D$17&amp;"|"&amp;TEXT(18,"00"),State_Data!$I:$I,State_Data!$E:$E,""),"")</f>
        <v/>
      </c>
      <c r="D36" s="82" t="str">
        <f ca="1">IFERROR(_xludf.xlookup('Pre-Audit Scoping'!$D$17&amp;"|"&amp;TEXT(18,"00"),State_Data!$I:$I,State_Data!$F:$F,""),"")</f>
        <v/>
      </c>
      <c r="E36" s="82" t="s">
        <v>319</v>
      </c>
      <c r="F36" s="82">
        <f t="shared" ca="1" si="0"/>
        <v>0</v>
      </c>
      <c r="G36" s="82">
        <f ca="1">IFERROR(_xludf.xlookup('Pre-Audit Scoping'!$D$17&amp;"|"&amp;TEXT(18,"00"),State_Data!$I:$I,State_Data!$H:$H,0),0)</f>
        <v>0</v>
      </c>
      <c r="H36" s="82"/>
      <c r="I36" s="82"/>
      <c r="J36" s="82" t="str">
        <f ca="1">IFERROR(_xludf.xlookup('Pre-Audit Scoping'!$D$17&amp;"|"&amp;TEXT(18,"00"),State_Data!$I:$I,State_Data!$G:$G,""),"")</f>
        <v/>
      </c>
      <c r="K36" s="82"/>
      <c r="O36">
        <f t="shared" ca="1" si="1"/>
        <v>0</v>
      </c>
    </row>
    <row r="37" spans="1:15" ht="15" customHeight="1" x14ac:dyDescent="0.45">
      <c r="A37" s="81" t="str">
        <f ca="1">IFERROR(_xludf.xlookup('Pre-Audit Scoping'!$D$17&amp;"|"&amp;TEXT(19,"00"),State_Data!$I:$I,State_Data!$C:$C,""),"")</f>
        <v/>
      </c>
      <c r="B37" s="81" t="str">
        <f ca="1">IFERROR(_xludf.xlookup('Pre-Audit Scoping'!$D$17&amp;"|"&amp;TEXT(19,"00"),State_Data!$I:$I,State_Data!$D:$D,""),"")</f>
        <v/>
      </c>
      <c r="C37" s="81" t="str">
        <f ca="1">IFERROR(_xludf.xlookup('Pre-Audit Scoping'!$D$17&amp;"|"&amp;TEXT(19,"00"),State_Data!$I:$I,State_Data!$E:$E,""),"")</f>
        <v/>
      </c>
      <c r="D37" s="81" t="str">
        <f ca="1">IFERROR(_xludf.xlookup('Pre-Audit Scoping'!$D$17&amp;"|"&amp;TEXT(19,"00"),State_Data!$I:$I,State_Data!$F:$F,""),"")</f>
        <v/>
      </c>
      <c r="E37" s="81" t="s">
        <v>319</v>
      </c>
      <c r="F37" s="81">
        <f t="shared" ca="1" si="0"/>
        <v>0</v>
      </c>
      <c r="G37" s="81">
        <f ca="1">IFERROR(_xludf.xlookup('Pre-Audit Scoping'!$D$17&amp;"|"&amp;TEXT(19,"00"),State_Data!$I:$I,State_Data!$H:$H,0),0)</f>
        <v>0</v>
      </c>
      <c r="H37" s="81"/>
      <c r="I37" s="81"/>
      <c r="J37" s="81" t="str">
        <f ca="1">IFERROR(_xludf.xlookup('Pre-Audit Scoping'!$D$17&amp;"|"&amp;TEXT(19,"00"),State_Data!$I:$I,State_Data!$G:$G,""),"")</f>
        <v/>
      </c>
      <c r="K37" s="81"/>
      <c r="O37">
        <f t="shared" ca="1" si="1"/>
        <v>0</v>
      </c>
    </row>
    <row r="38" spans="1:15" ht="15" customHeight="1" x14ac:dyDescent="0.45">
      <c r="A38" s="82" t="str">
        <f ca="1">IFERROR(_xludf.xlookup('Pre-Audit Scoping'!$D$17&amp;"|"&amp;TEXT(20,"00"),State_Data!$I:$I,State_Data!$C:$C,""),"")</f>
        <v/>
      </c>
      <c r="B38" s="82" t="str">
        <f ca="1">IFERROR(_xludf.xlookup('Pre-Audit Scoping'!$D$17&amp;"|"&amp;TEXT(20,"00"),State_Data!$I:$I,State_Data!$D:$D,""),"")</f>
        <v/>
      </c>
      <c r="C38" s="82" t="str">
        <f ca="1">IFERROR(_xludf.xlookup('Pre-Audit Scoping'!$D$17&amp;"|"&amp;TEXT(20,"00"),State_Data!$I:$I,State_Data!$E:$E,""),"")</f>
        <v/>
      </c>
      <c r="D38" s="82" t="str">
        <f ca="1">IFERROR(_xludf.xlookup('Pre-Audit Scoping'!$D$17&amp;"|"&amp;TEXT(20,"00"),State_Data!$I:$I,State_Data!$F:$F,""),"")</f>
        <v/>
      </c>
      <c r="E38" s="82" t="s">
        <v>319</v>
      </c>
      <c r="F38" s="82">
        <f t="shared" ca="1" si="0"/>
        <v>0</v>
      </c>
      <c r="G38" s="82">
        <f ca="1">IFERROR(_xludf.xlookup('Pre-Audit Scoping'!$D$17&amp;"|"&amp;TEXT(20,"00"),State_Data!$I:$I,State_Data!$H:$H,0),0)</f>
        <v>0</v>
      </c>
      <c r="H38" s="82"/>
      <c r="I38" s="82"/>
      <c r="J38" s="82" t="str">
        <f ca="1">IFERROR(_xludf.xlookup('Pre-Audit Scoping'!$D$17&amp;"|"&amp;TEXT(20,"00"),State_Data!$I:$I,State_Data!$G:$G,""),"")</f>
        <v/>
      </c>
      <c r="K38" s="82"/>
      <c r="O38">
        <f t="shared" ca="1" si="1"/>
        <v>0</v>
      </c>
    </row>
    <row r="39" spans="1:15" ht="15" customHeight="1" x14ac:dyDescent="0.45">
      <c r="A39" s="81" t="str">
        <f ca="1">IFERROR(_xludf.xlookup('Pre-Audit Scoping'!$D$17&amp;"|"&amp;TEXT(21,"00"),State_Data!$I:$I,State_Data!$C:$C,""),"")</f>
        <v/>
      </c>
      <c r="B39" s="81" t="str">
        <f ca="1">IFERROR(_xludf.xlookup('Pre-Audit Scoping'!$D$17&amp;"|"&amp;TEXT(21,"00"),State_Data!$I:$I,State_Data!$D:$D,""),"")</f>
        <v/>
      </c>
      <c r="C39" s="81" t="str">
        <f ca="1">IFERROR(_xludf.xlookup('Pre-Audit Scoping'!$D$17&amp;"|"&amp;TEXT(21,"00"),State_Data!$I:$I,State_Data!$E:$E,""),"")</f>
        <v/>
      </c>
      <c r="D39" s="81" t="str">
        <f ca="1">IFERROR(_xludf.xlookup('Pre-Audit Scoping'!$D$17&amp;"|"&amp;TEXT(21,"00"),State_Data!$I:$I,State_Data!$F:$F,""),"")</f>
        <v/>
      </c>
      <c r="E39" s="81" t="s">
        <v>319</v>
      </c>
      <c r="F39" s="81">
        <f t="shared" ca="1" si="0"/>
        <v>0</v>
      </c>
      <c r="G39" s="81">
        <f ca="1">IFERROR(_xludf.xlookup('Pre-Audit Scoping'!$D$17&amp;"|"&amp;TEXT(21,"00"),State_Data!$I:$I,State_Data!$H:$H,0),0)</f>
        <v>0</v>
      </c>
      <c r="H39" s="81"/>
      <c r="I39" s="81"/>
      <c r="J39" s="81" t="str">
        <f ca="1">IFERROR(_xludf.xlookup('Pre-Audit Scoping'!$D$17&amp;"|"&amp;TEXT(21,"00"),State_Data!$I:$I,State_Data!$G:$G,""),"")</f>
        <v/>
      </c>
      <c r="K39" s="81"/>
      <c r="O39">
        <f t="shared" ca="1" si="1"/>
        <v>0</v>
      </c>
    </row>
    <row r="40" spans="1:15" ht="15" customHeight="1" x14ac:dyDescent="0.45">
      <c r="A40" s="82" t="str">
        <f ca="1">IFERROR(_xludf.xlookup('Pre-Audit Scoping'!$D$17&amp;"|"&amp;TEXT(22,"00"),State_Data!$I:$I,State_Data!$C:$C,""),"")</f>
        <v/>
      </c>
      <c r="B40" s="82" t="str">
        <f ca="1">IFERROR(_xludf.xlookup('Pre-Audit Scoping'!$D$17&amp;"|"&amp;TEXT(22,"00"),State_Data!$I:$I,State_Data!$D:$D,""),"")</f>
        <v/>
      </c>
      <c r="C40" s="82" t="str">
        <f ca="1">IFERROR(_xludf.xlookup('Pre-Audit Scoping'!$D$17&amp;"|"&amp;TEXT(22,"00"),State_Data!$I:$I,State_Data!$E:$E,""),"")</f>
        <v/>
      </c>
      <c r="D40" s="82" t="str">
        <f ca="1">IFERROR(_xludf.xlookup('Pre-Audit Scoping'!$D$17&amp;"|"&amp;TEXT(22,"00"),State_Data!$I:$I,State_Data!$F:$F,""),"")</f>
        <v/>
      </c>
      <c r="E40" s="82" t="s">
        <v>319</v>
      </c>
      <c r="F40" s="82">
        <f t="shared" ca="1" si="0"/>
        <v>0</v>
      </c>
      <c r="G40" s="82">
        <f ca="1">IFERROR(_xludf.xlookup('Pre-Audit Scoping'!$D$17&amp;"|"&amp;TEXT(22,"00"),State_Data!$I:$I,State_Data!$H:$H,0),0)</f>
        <v>0</v>
      </c>
      <c r="H40" s="82"/>
      <c r="I40" s="82"/>
      <c r="J40" s="82" t="str">
        <f ca="1">IFERROR(_xludf.xlookup('Pre-Audit Scoping'!$D$17&amp;"|"&amp;TEXT(22,"00"),State_Data!$I:$I,State_Data!$G:$G,""),"")</f>
        <v/>
      </c>
      <c r="K40" s="82"/>
      <c r="O40">
        <f t="shared" ca="1" si="1"/>
        <v>0</v>
      </c>
    </row>
    <row r="41" spans="1:15" ht="15" customHeight="1" x14ac:dyDescent="0.45">
      <c r="A41" s="81" t="str">
        <f ca="1">IFERROR(_xludf.xlookup('Pre-Audit Scoping'!$D$17&amp;"|"&amp;TEXT(23,"00"),State_Data!$I:$I,State_Data!$C:$C,""),"")</f>
        <v/>
      </c>
      <c r="B41" s="81" t="str">
        <f ca="1">IFERROR(_xludf.xlookup('Pre-Audit Scoping'!$D$17&amp;"|"&amp;TEXT(23,"00"),State_Data!$I:$I,State_Data!$D:$D,""),"")</f>
        <v/>
      </c>
      <c r="C41" s="81" t="str">
        <f ca="1">IFERROR(_xludf.xlookup('Pre-Audit Scoping'!$D$17&amp;"|"&amp;TEXT(23,"00"),State_Data!$I:$I,State_Data!$E:$E,""),"")</f>
        <v/>
      </c>
      <c r="D41" s="81" t="str">
        <f ca="1">IFERROR(_xludf.xlookup('Pre-Audit Scoping'!$D$17&amp;"|"&amp;TEXT(23,"00"),State_Data!$I:$I,State_Data!$F:$F,""),"")</f>
        <v/>
      </c>
      <c r="E41" s="81" t="s">
        <v>319</v>
      </c>
      <c r="F41" s="81">
        <f t="shared" ca="1" si="0"/>
        <v>0</v>
      </c>
      <c r="G41" s="81">
        <f ca="1">IFERROR(_xludf.xlookup('Pre-Audit Scoping'!$D$17&amp;"|"&amp;TEXT(23,"00"),State_Data!$I:$I,State_Data!$H:$H,0),0)</f>
        <v>0</v>
      </c>
      <c r="H41" s="81"/>
      <c r="I41" s="81"/>
      <c r="J41" s="81" t="str">
        <f ca="1">IFERROR(_xludf.xlookup('Pre-Audit Scoping'!$D$17&amp;"|"&amp;TEXT(23,"00"),State_Data!$I:$I,State_Data!$G:$G,""),"")</f>
        <v/>
      </c>
      <c r="K41" s="81"/>
      <c r="O41">
        <f t="shared" ca="1" si="1"/>
        <v>0</v>
      </c>
    </row>
    <row r="42" spans="1:15" ht="15" customHeight="1" x14ac:dyDescent="0.45">
      <c r="A42" s="82" t="str">
        <f ca="1">IFERROR(_xludf.xlookup('Pre-Audit Scoping'!$D$17&amp;"|"&amp;TEXT(24,"00"),State_Data!$I:$I,State_Data!$C:$C,""),"")</f>
        <v/>
      </c>
      <c r="B42" s="82" t="str">
        <f ca="1">IFERROR(_xludf.xlookup('Pre-Audit Scoping'!$D$17&amp;"|"&amp;TEXT(24,"00"),State_Data!$I:$I,State_Data!$D:$D,""),"")</f>
        <v/>
      </c>
      <c r="C42" s="82" t="str">
        <f ca="1">IFERROR(_xludf.xlookup('Pre-Audit Scoping'!$D$17&amp;"|"&amp;TEXT(24,"00"),State_Data!$I:$I,State_Data!$E:$E,""),"")</f>
        <v/>
      </c>
      <c r="D42" s="82" t="str">
        <f ca="1">IFERROR(_xludf.xlookup('Pre-Audit Scoping'!$D$17&amp;"|"&amp;TEXT(24,"00"),State_Data!$I:$I,State_Data!$F:$F,""),"")</f>
        <v/>
      </c>
      <c r="E42" s="82" t="s">
        <v>319</v>
      </c>
      <c r="F42" s="82">
        <f t="shared" ca="1" si="0"/>
        <v>0</v>
      </c>
      <c r="G42" s="82">
        <f ca="1">IFERROR(_xludf.xlookup('Pre-Audit Scoping'!$D$17&amp;"|"&amp;TEXT(24,"00"),State_Data!$I:$I,State_Data!$H:$H,0),0)</f>
        <v>0</v>
      </c>
      <c r="H42" s="82"/>
      <c r="I42" s="82"/>
      <c r="J42" s="82" t="str">
        <f ca="1">IFERROR(_xludf.xlookup('Pre-Audit Scoping'!$D$17&amp;"|"&amp;TEXT(24,"00"),State_Data!$I:$I,State_Data!$G:$G,""),"")</f>
        <v/>
      </c>
      <c r="K42" s="82"/>
      <c r="O42">
        <f t="shared" ca="1" si="1"/>
        <v>0</v>
      </c>
    </row>
    <row r="43" spans="1:15" ht="15" customHeight="1" x14ac:dyDescent="0.45">
      <c r="A43" s="81" t="str">
        <f ca="1">IFERROR(_xludf.xlookup('Pre-Audit Scoping'!$D$17&amp;"|"&amp;TEXT(25,"00"),State_Data!$I:$I,State_Data!$C:$C,""),"")</f>
        <v/>
      </c>
      <c r="B43" s="81" t="str">
        <f ca="1">IFERROR(_xludf.xlookup('Pre-Audit Scoping'!$D$17&amp;"|"&amp;TEXT(25,"00"),State_Data!$I:$I,State_Data!$D:$D,""),"")</f>
        <v/>
      </c>
      <c r="C43" s="81" t="str">
        <f ca="1">IFERROR(_xludf.xlookup('Pre-Audit Scoping'!$D$17&amp;"|"&amp;TEXT(25,"00"),State_Data!$I:$I,State_Data!$E:$E,""),"")</f>
        <v/>
      </c>
      <c r="D43" s="81" t="str">
        <f ca="1">IFERROR(_xludf.xlookup('Pre-Audit Scoping'!$D$17&amp;"|"&amp;TEXT(25,"00"),State_Data!$I:$I,State_Data!$F:$F,""),"")</f>
        <v/>
      </c>
      <c r="E43" s="81" t="s">
        <v>319</v>
      </c>
      <c r="F43" s="81">
        <f t="shared" ca="1" si="0"/>
        <v>0</v>
      </c>
      <c r="G43" s="81">
        <f ca="1">IFERROR(_xludf.xlookup('Pre-Audit Scoping'!$D$17&amp;"|"&amp;TEXT(25,"00"),State_Data!$I:$I,State_Data!$H:$H,0),0)</f>
        <v>0</v>
      </c>
      <c r="H43" s="81"/>
      <c r="I43" s="81"/>
      <c r="J43" s="81" t="str">
        <f ca="1">IFERROR(_xludf.xlookup('Pre-Audit Scoping'!$D$17&amp;"|"&amp;TEXT(25,"00"),State_Data!$I:$I,State_Data!$G:$G,""),"")</f>
        <v/>
      </c>
      <c r="K43" s="81"/>
      <c r="O43">
        <f t="shared" ca="1" si="1"/>
        <v>0</v>
      </c>
    </row>
    <row r="44" spans="1:15" ht="15" customHeight="1" x14ac:dyDescent="0.45">
      <c r="A44" s="82" t="str">
        <f ca="1">IFERROR(_xludf.xlookup('Pre-Audit Scoping'!$D$17&amp;"|"&amp;TEXT(26,"00"),State_Data!$I:$I,State_Data!$C:$C,""),"")</f>
        <v/>
      </c>
      <c r="B44" s="82" t="str">
        <f ca="1">IFERROR(_xludf.xlookup('Pre-Audit Scoping'!$D$17&amp;"|"&amp;TEXT(26,"00"),State_Data!$I:$I,State_Data!$D:$D,""),"")</f>
        <v/>
      </c>
      <c r="C44" s="82" t="str">
        <f ca="1">IFERROR(_xludf.xlookup('Pre-Audit Scoping'!$D$17&amp;"|"&amp;TEXT(26,"00"),State_Data!$I:$I,State_Data!$E:$E,""),"")</f>
        <v/>
      </c>
      <c r="D44" s="82" t="str">
        <f ca="1">IFERROR(_xludf.xlookup('Pre-Audit Scoping'!$D$17&amp;"|"&amp;TEXT(26,"00"),State_Data!$I:$I,State_Data!$F:$F,""),"")</f>
        <v/>
      </c>
      <c r="E44" s="82" t="s">
        <v>319</v>
      </c>
      <c r="F44" s="82">
        <f t="shared" ca="1" si="0"/>
        <v>0</v>
      </c>
      <c r="G44" s="82">
        <f ca="1">IFERROR(_xludf.xlookup('Pre-Audit Scoping'!$D$17&amp;"|"&amp;TEXT(26,"00"),State_Data!$I:$I,State_Data!$H:$H,0),0)</f>
        <v>0</v>
      </c>
      <c r="H44" s="82"/>
      <c r="I44" s="82"/>
      <c r="J44" s="82" t="str">
        <f ca="1">IFERROR(_xludf.xlookup('Pre-Audit Scoping'!$D$17&amp;"|"&amp;TEXT(26,"00"),State_Data!$I:$I,State_Data!$G:$G,""),"")</f>
        <v/>
      </c>
      <c r="K44" s="82"/>
      <c r="O44">
        <f t="shared" ca="1" si="1"/>
        <v>0</v>
      </c>
    </row>
    <row r="45" spans="1:15" ht="15" customHeight="1" x14ac:dyDescent="0.45">
      <c r="A45" s="81" t="str">
        <f ca="1">IFERROR(_xludf.xlookup('Pre-Audit Scoping'!$D$17&amp;"|"&amp;TEXT(27,"00"),State_Data!$I:$I,State_Data!$C:$C,""),"")</f>
        <v/>
      </c>
      <c r="B45" s="81" t="str">
        <f ca="1">IFERROR(_xludf.xlookup('Pre-Audit Scoping'!$D$17&amp;"|"&amp;TEXT(27,"00"),State_Data!$I:$I,State_Data!$D:$D,""),"")</f>
        <v/>
      </c>
      <c r="C45" s="81" t="str">
        <f ca="1">IFERROR(_xludf.xlookup('Pre-Audit Scoping'!$D$17&amp;"|"&amp;TEXT(27,"00"),State_Data!$I:$I,State_Data!$E:$E,""),"")</f>
        <v/>
      </c>
      <c r="D45" s="81" t="str">
        <f ca="1">IFERROR(_xludf.xlookup('Pre-Audit Scoping'!$D$17&amp;"|"&amp;TEXT(27,"00"),State_Data!$I:$I,State_Data!$F:$F,""),"")</f>
        <v/>
      </c>
      <c r="E45" s="81" t="s">
        <v>319</v>
      </c>
      <c r="F45" s="81">
        <f t="shared" ca="1" si="0"/>
        <v>0</v>
      </c>
      <c r="G45" s="81">
        <f ca="1">IFERROR(_xludf.xlookup('Pre-Audit Scoping'!$D$17&amp;"|"&amp;TEXT(27,"00"),State_Data!$I:$I,State_Data!$H:$H,0),0)</f>
        <v>0</v>
      </c>
      <c r="H45" s="81"/>
      <c r="I45" s="81"/>
      <c r="J45" s="81" t="str">
        <f ca="1">IFERROR(_xludf.xlookup('Pre-Audit Scoping'!$D$17&amp;"|"&amp;TEXT(27,"00"),State_Data!$I:$I,State_Data!$G:$G,""),"")</f>
        <v/>
      </c>
      <c r="K45" s="81"/>
      <c r="O45">
        <f t="shared" ca="1" si="1"/>
        <v>0</v>
      </c>
    </row>
    <row r="46" spans="1:15" ht="15" customHeight="1" x14ac:dyDescent="0.45">
      <c r="A46" s="82" t="str">
        <f ca="1">IFERROR(_xludf.xlookup('Pre-Audit Scoping'!$D$17&amp;"|"&amp;TEXT(28,"00"),State_Data!$I:$I,State_Data!$C:$C,""),"")</f>
        <v/>
      </c>
      <c r="B46" s="82" t="str">
        <f ca="1">IFERROR(_xludf.xlookup('Pre-Audit Scoping'!$D$17&amp;"|"&amp;TEXT(28,"00"),State_Data!$I:$I,State_Data!$D:$D,""),"")</f>
        <v/>
      </c>
      <c r="C46" s="82" t="str">
        <f ca="1">IFERROR(_xludf.xlookup('Pre-Audit Scoping'!$D$17&amp;"|"&amp;TEXT(28,"00"),State_Data!$I:$I,State_Data!$E:$E,""),"")</f>
        <v/>
      </c>
      <c r="D46" s="82" t="str">
        <f ca="1">IFERROR(_xludf.xlookup('Pre-Audit Scoping'!$D$17&amp;"|"&amp;TEXT(28,"00"),State_Data!$I:$I,State_Data!$F:$F,""),"")</f>
        <v/>
      </c>
      <c r="E46" s="82" t="s">
        <v>319</v>
      </c>
      <c r="F46" s="82">
        <f t="shared" ca="1" si="0"/>
        <v>0</v>
      </c>
      <c r="G46" s="82">
        <f ca="1">IFERROR(_xludf.xlookup('Pre-Audit Scoping'!$D$17&amp;"|"&amp;TEXT(28,"00"),State_Data!$I:$I,State_Data!$H:$H,0),0)</f>
        <v>0</v>
      </c>
      <c r="H46" s="82"/>
      <c r="I46" s="82"/>
      <c r="J46" s="82" t="str">
        <f ca="1">IFERROR(_xludf.xlookup('Pre-Audit Scoping'!$D$17&amp;"|"&amp;TEXT(28,"00"),State_Data!$I:$I,State_Data!$G:$G,""),"")</f>
        <v/>
      </c>
      <c r="K46" s="82"/>
      <c r="O46">
        <f t="shared" ca="1" si="1"/>
        <v>0</v>
      </c>
    </row>
    <row r="47" spans="1:15" ht="15" customHeight="1" x14ac:dyDescent="0.45">
      <c r="A47" s="81" t="str">
        <f ca="1">IFERROR(_xludf.xlookup('Pre-Audit Scoping'!$D$17&amp;"|"&amp;TEXT(29,"00"),State_Data!$I:$I,State_Data!$C:$C,""),"")</f>
        <v/>
      </c>
      <c r="B47" s="81" t="str">
        <f ca="1">IFERROR(_xludf.xlookup('Pre-Audit Scoping'!$D$17&amp;"|"&amp;TEXT(29,"00"),State_Data!$I:$I,State_Data!$D:$D,""),"")</f>
        <v/>
      </c>
      <c r="C47" s="81" t="str">
        <f ca="1">IFERROR(_xludf.xlookup('Pre-Audit Scoping'!$D$17&amp;"|"&amp;TEXT(29,"00"),State_Data!$I:$I,State_Data!$E:$E,""),"")</f>
        <v/>
      </c>
      <c r="D47" s="81" t="str">
        <f ca="1">IFERROR(_xludf.xlookup('Pre-Audit Scoping'!$D$17&amp;"|"&amp;TEXT(29,"00"),State_Data!$I:$I,State_Data!$F:$F,""),"")</f>
        <v/>
      </c>
      <c r="E47" s="81" t="s">
        <v>319</v>
      </c>
      <c r="F47" s="81">
        <f t="shared" ca="1" si="0"/>
        <v>0</v>
      </c>
      <c r="G47" s="81">
        <f ca="1">IFERROR(_xludf.xlookup('Pre-Audit Scoping'!$D$17&amp;"|"&amp;TEXT(29,"00"),State_Data!$I:$I,State_Data!$H:$H,0),0)</f>
        <v>0</v>
      </c>
      <c r="H47" s="81"/>
      <c r="I47" s="81"/>
      <c r="J47" s="81" t="str">
        <f ca="1">IFERROR(_xludf.xlookup('Pre-Audit Scoping'!$D$17&amp;"|"&amp;TEXT(29,"00"),State_Data!$I:$I,State_Data!$G:$G,""),"")</f>
        <v/>
      </c>
      <c r="K47" s="81"/>
      <c r="O47">
        <f t="shared" ca="1" si="1"/>
        <v>0</v>
      </c>
    </row>
    <row r="48" spans="1:15" ht="15" customHeight="1" x14ac:dyDescent="0.45">
      <c r="A48" s="82" t="str">
        <f ca="1">IFERROR(_xludf.xlookup('Pre-Audit Scoping'!$D$17&amp;"|"&amp;TEXT(30,"00"),State_Data!$I:$I,State_Data!$C:$C,""),"")</f>
        <v/>
      </c>
      <c r="B48" s="82" t="str">
        <f ca="1">IFERROR(_xludf.xlookup('Pre-Audit Scoping'!$D$17&amp;"|"&amp;TEXT(30,"00"),State_Data!$I:$I,State_Data!$D:$D,""),"")</f>
        <v/>
      </c>
      <c r="C48" s="82" t="str">
        <f ca="1">IFERROR(_xludf.xlookup('Pre-Audit Scoping'!$D$17&amp;"|"&amp;TEXT(30,"00"),State_Data!$I:$I,State_Data!$E:$E,""),"")</f>
        <v/>
      </c>
      <c r="D48" s="82" t="str">
        <f ca="1">IFERROR(_xludf.xlookup('Pre-Audit Scoping'!$D$17&amp;"|"&amp;TEXT(30,"00"),State_Data!$I:$I,State_Data!$F:$F,""),"")</f>
        <v/>
      </c>
      <c r="E48" s="82" t="s">
        <v>319</v>
      </c>
      <c r="F48" s="82">
        <f t="shared" ca="1" si="0"/>
        <v>0</v>
      </c>
      <c r="G48" s="82">
        <f ca="1">IFERROR(_xludf.xlookup('Pre-Audit Scoping'!$D$17&amp;"|"&amp;TEXT(30,"00"),State_Data!$I:$I,State_Data!$H:$H,0),0)</f>
        <v>0</v>
      </c>
      <c r="H48" s="82"/>
      <c r="I48" s="82"/>
      <c r="J48" s="82" t="str">
        <f ca="1">IFERROR(_xludf.xlookup('Pre-Audit Scoping'!$D$17&amp;"|"&amp;TEXT(30,"00"),State_Data!$I:$I,State_Data!$G:$G,""),"")</f>
        <v/>
      </c>
      <c r="K48" s="82"/>
      <c r="O48">
        <f t="shared" ca="1" si="1"/>
        <v>0</v>
      </c>
    </row>
    <row r="49" spans="1:15" ht="15" customHeight="1" x14ac:dyDescent="0.45">
      <c r="A49" s="81" t="str">
        <f ca="1">IFERROR(_xludf.xlookup('Pre-Audit Scoping'!$D$17&amp;"|"&amp;TEXT(31,"00"),State_Data!$I:$I,State_Data!$C:$C,""),"")</f>
        <v/>
      </c>
      <c r="B49" s="81" t="str">
        <f ca="1">IFERROR(_xludf.xlookup('Pre-Audit Scoping'!$D$17&amp;"|"&amp;TEXT(31,"00"),State_Data!$I:$I,State_Data!$D:$D,""),"")</f>
        <v/>
      </c>
      <c r="C49" s="81" t="str">
        <f ca="1">IFERROR(_xludf.xlookup('Pre-Audit Scoping'!$D$17&amp;"|"&amp;TEXT(31,"00"),State_Data!$I:$I,State_Data!$E:$E,""),"")</f>
        <v/>
      </c>
      <c r="D49" s="81" t="str">
        <f ca="1">IFERROR(_xludf.xlookup('Pre-Audit Scoping'!$D$17&amp;"|"&amp;TEXT(31,"00"),State_Data!$I:$I,State_Data!$F:$F,""),"")</f>
        <v/>
      </c>
      <c r="E49" s="81" t="s">
        <v>319</v>
      </c>
      <c r="F49" s="81">
        <f t="shared" ca="1" si="0"/>
        <v>0</v>
      </c>
      <c r="G49" s="81">
        <f ca="1">IFERROR(_xludf.xlookup('Pre-Audit Scoping'!$D$17&amp;"|"&amp;TEXT(31,"00"),State_Data!$I:$I,State_Data!$H:$H,0),0)</f>
        <v>0</v>
      </c>
      <c r="H49" s="81"/>
      <c r="I49" s="81"/>
      <c r="J49" s="81" t="str">
        <f ca="1">IFERROR(_xludf.xlookup('Pre-Audit Scoping'!$D$17&amp;"|"&amp;TEXT(31,"00"),State_Data!$I:$I,State_Data!$G:$G,""),"")</f>
        <v/>
      </c>
      <c r="K49" s="81"/>
      <c r="O49">
        <f t="shared" ca="1" si="1"/>
        <v>0</v>
      </c>
    </row>
    <row r="50" spans="1:15" ht="15" customHeight="1" x14ac:dyDescent="0.45">
      <c r="A50" s="82" t="str">
        <f ca="1">IFERROR(_xludf.xlookup('Pre-Audit Scoping'!$D$17&amp;"|"&amp;TEXT(32,"00"),State_Data!$I:$I,State_Data!$C:$C,""),"")</f>
        <v/>
      </c>
      <c r="B50" s="82" t="str">
        <f ca="1">IFERROR(_xludf.xlookup('Pre-Audit Scoping'!$D$17&amp;"|"&amp;TEXT(32,"00"),State_Data!$I:$I,State_Data!$D:$D,""),"")</f>
        <v/>
      </c>
      <c r="C50" s="82" t="str">
        <f ca="1">IFERROR(_xludf.xlookup('Pre-Audit Scoping'!$D$17&amp;"|"&amp;TEXT(32,"00"),State_Data!$I:$I,State_Data!$E:$E,""),"")</f>
        <v/>
      </c>
      <c r="D50" s="82" t="str">
        <f ca="1">IFERROR(_xludf.xlookup('Pre-Audit Scoping'!$D$17&amp;"|"&amp;TEXT(32,"00"),State_Data!$I:$I,State_Data!$F:$F,""),"")</f>
        <v/>
      </c>
      <c r="E50" s="82" t="s">
        <v>319</v>
      </c>
      <c r="F50" s="82">
        <f t="shared" ca="1" si="0"/>
        <v>0</v>
      </c>
      <c r="G50" s="82">
        <f ca="1">IFERROR(_xludf.xlookup('Pre-Audit Scoping'!$D$17&amp;"|"&amp;TEXT(32,"00"),State_Data!$I:$I,State_Data!$H:$H,0),0)</f>
        <v>0</v>
      </c>
      <c r="H50" s="82"/>
      <c r="I50" s="82"/>
      <c r="J50" s="82" t="str">
        <f ca="1">IFERROR(_xludf.xlookup('Pre-Audit Scoping'!$D$17&amp;"|"&amp;TEXT(32,"00"),State_Data!$I:$I,State_Data!$G:$G,""),"")</f>
        <v/>
      </c>
      <c r="K50" s="82"/>
      <c r="O50">
        <f t="shared" ca="1" si="1"/>
        <v>0</v>
      </c>
    </row>
    <row r="51" spans="1:15" ht="15" customHeight="1" x14ac:dyDescent="0.45">
      <c r="A51" s="81" t="str">
        <f ca="1">IFERROR(_xludf.xlookup('Pre-Audit Scoping'!$D$17&amp;"|"&amp;TEXT(33,"00"),State_Data!$I:$I,State_Data!$C:$C,""),"")</f>
        <v/>
      </c>
      <c r="B51" s="81" t="str">
        <f ca="1">IFERROR(_xludf.xlookup('Pre-Audit Scoping'!$D$17&amp;"|"&amp;TEXT(33,"00"),State_Data!$I:$I,State_Data!$D:$D,""),"")</f>
        <v/>
      </c>
      <c r="C51" s="81" t="str">
        <f ca="1">IFERROR(_xludf.xlookup('Pre-Audit Scoping'!$D$17&amp;"|"&amp;TEXT(33,"00"),State_Data!$I:$I,State_Data!$E:$E,""),"")</f>
        <v/>
      </c>
      <c r="D51" s="81" t="str">
        <f ca="1">IFERROR(_xludf.xlookup('Pre-Audit Scoping'!$D$17&amp;"|"&amp;TEXT(33,"00"),State_Data!$I:$I,State_Data!$F:$F,""),"")</f>
        <v/>
      </c>
      <c r="E51" s="81" t="s">
        <v>319</v>
      </c>
      <c r="F51" s="81">
        <f t="shared" ref="F51:F82" ca="1" si="2">IFERROR(ROUND(G51*VLOOKUP(E51,$M$2:$N$8,2,FALSE())/100,1),0)</f>
        <v>0</v>
      </c>
      <c r="G51" s="81">
        <f ca="1">IFERROR(_xludf.xlookup('Pre-Audit Scoping'!$D$17&amp;"|"&amp;TEXT(33,"00"),State_Data!$I:$I,State_Data!$H:$H,0),0)</f>
        <v>0</v>
      </c>
      <c r="H51" s="81"/>
      <c r="I51" s="81"/>
      <c r="J51" s="81" t="str">
        <f ca="1">IFERROR(_xludf.xlookup('Pre-Audit Scoping'!$D$17&amp;"|"&amp;TEXT(33,"00"),State_Data!$I:$I,State_Data!$G:$G,""),"")</f>
        <v/>
      </c>
      <c r="K51" s="81"/>
      <c r="O51">
        <f t="shared" ref="O51:O82" ca="1" si="3">IF(E51="Not Applicable",0,G51)</f>
        <v>0</v>
      </c>
    </row>
    <row r="52" spans="1:15" ht="15" customHeight="1" x14ac:dyDescent="0.45">
      <c r="A52" s="82" t="str">
        <f ca="1">IFERROR(_xludf.xlookup('Pre-Audit Scoping'!$D$17&amp;"|"&amp;TEXT(34,"00"),State_Data!$I:$I,State_Data!$C:$C,""),"")</f>
        <v/>
      </c>
      <c r="B52" s="82" t="str">
        <f ca="1">IFERROR(_xludf.xlookup('Pre-Audit Scoping'!$D$17&amp;"|"&amp;TEXT(34,"00"),State_Data!$I:$I,State_Data!$D:$D,""),"")</f>
        <v/>
      </c>
      <c r="C52" s="82" t="str">
        <f ca="1">IFERROR(_xludf.xlookup('Pre-Audit Scoping'!$D$17&amp;"|"&amp;TEXT(34,"00"),State_Data!$I:$I,State_Data!$E:$E,""),"")</f>
        <v/>
      </c>
      <c r="D52" s="82" t="str">
        <f ca="1">IFERROR(_xludf.xlookup('Pre-Audit Scoping'!$D$17&amp;"|"&amp;TEXT(34,"00"),State_Data!$I:$I,State_Data!$F:$F,""),"")</f>
        <v/>
      </c>
      <c r="E52" s="82" t="s">
        <v>319</v>
      </c>
      <c r="F52" s="82">
        <f t="shared" ca="1" si="2"/>
        <v>0</v>
      </c>
      <c r="G52" s="82">
        <f ca="1">IFERROR(_xludf.xlookup('Pre-Audit Scoping'!$D$17&amp;"|"&amp;TEXT(34,"00"),State_Data!$I:$I,State_Data!$H:$H,0),0)</f>
        <v>0</v>
      </c>
      <c r="H52" s="82"/>
      <c r="I52" s="82"/>
      <c r="J52" s="82" t="str">
        <f ca="1">IFERROR(_xludf.xlookup('Pre-Audit Scoping'!$D$17&amp;"|"&amp;TEXT(34,"00"),State_Data!$I:$I,State_Data!$G:$G,""),"")</f>
        <v/>
      </c>
      <c r="K52" s="82"/>
      <c r="O52">
        <f t="shared" ca="1" si="3"/>
        <v>0</v>
      </c>
    </row>
    <row r="53" spans="1:15" ht="15" customHeight="1" x14ac:dyDescent="0.45">
      <c r="A53" s="81" t="str">
        <f ca="1">IFERROR(_xludf.xlookup('Pre-Audit Scoping'!$D$17&amp;"|"&amp;TEXT(35,"00"),State_Data!$I:$I,State_Data!$C:$C,""),"")</f>
        <v/>
      </c>
      <c r="B53" s="81" t="str">
        <f ca="1">IFERROR(_xludf.xlookup('Pre-Audit Scoping'!$D$17&amp;"|"&amp;TEXT(35,"00"),State_Data!$I:$I,State_Data!$D:$D,""),"")</f>
        <v/>
      </c>
      <c r="C53" s="81" t="str">
        <f ca="1">IFERROR(_xludf.xlookup('Pre-Audit Scoping'!$D$17&amp;"|"&amp;TEXT(35,"00"),State_Data!$I:$I,State_Data!$E:$E,""),"")</f>
        <v/>
      </c>
      <c r="D53" s="81" t="str">
        <f ca="1">IFERROR(_xludf.xlookup('Pre-Audit Scoping'!$D$17&amp;"|"&amp;TEXT(35,"00"),State_Data!$I:$I,State_Data!$F:$F,""),"")</f>
        <v/>
      </c>
      <c r="E53" s="81" t="s">
        <v>319</v>
      </c>
      <c r="F53" s="81">
        <f t="shared" ca="1" si="2"/>
        <v>0</v>
      </c>
      <c r="G53" s="81">
        <f ca="1">IFERROR(_xludf.xlookup('Pre-Audit Scoping'!$D$17&amp;"|"&amp;TEXT(35,"00"),State_Data!$I:$I,State_Data!$H:$H,0),0)</f>
        <v>0</v>
      </c>
      <c r="H53" s="81"/>
      <c r="I53" s="81"/>
      <c r="J53" s="81" t="str">
        <f ca="1">IFERROR(_xludf.xlookup('Pre-Audit Scoping'!$D$17&amp;"|"&amp;TEXT(35,"00"),State_Data!$I:$I,State_Data!$G:$G,""),"")</f>
        <v/>
      </c>
      <c r="K53" s="81"/>
      <c r="O53">
        <f t="shared" ca="1" si="3"/>
        <v>0</v>
      </c>
    </row>
    <row r="54" spans="1:15" ht="15" customHeight="1" x14ac:dyDescent="0.45">
      <c r="A54" s="82" t="str">
        <f ca="1">IFERROR(_xludf.xlookup('Pre-Audit Scoping'!$D$17&amp;"|"&amp;TEXT(36,"00"),State_Data!$I:$I,State_Data!$C:$C,""),"")</f>
        <v/>
      </c>
      <c r="B54" s="82" t="str">
        <f ca="1">IFERROR(_xludf.xlookup('Pre-Audit Scoping'!$D$17&amp;"|"&amp;TEXT(36,"00"),State_Data!$I:$I,State_Data!$D:$D,""),"")</f>
        <v/>
      </c>
      <c r="C54" s="82" t="str">
        <f ca="1">IFERROR(_xludf.xlookup('Pre-Audit Scoping'!$D$17&amp;"|"&amp;TEXT(36,"00"),State_Data!$I:$I,State_Data!$E:$E,""),"")</f>
        <v/>
      </c>
      <c r="D54" s="82" t="str">
        <f ca="1">IFERROR(_xludf.xlookup('Pre-Audit Scoping'!$D$17&amp;"|"&amp;TEXT(36,"00"),State_Data!$I:$I,State_Data!$F:$F,""),"")</f>
        <v/>
      </c>
      <c r="E54" s="82" t="s">
        <v>319</v>
      </c>
      <c r="F54" s="82">
        <f t="shared" ca="1" si="2"/>
        <v>0</v>
      </c>
      <c r="G54" s="82">
        <f ca="1">IFERROR(_xludf.xlookup('Pre-Audit Scoping'!$D$17&amp;"|"&amp;TEXT(36,"00"),State_Data!$I:$I,State_Data!$H:$H,0),0)</f>
        <v>0</v>
      </c>
      <c r="H54" s="82"/>
      <c r="I54" s="82"/>
      <c r="J54" s="82" t="str">
        <f ca="1">IFERROR(_xludf.xlookup('Pre-Audit Scoping'!$D$17&amp;"|"&amp;TEXT(36,"00"),State_Data!$I:$I,State_Data!$G:$G,""),"")</f>
        <v/>
      </c>
      <c r="K54" s="82"/>
      <c r="O54">
        <f t="shared" ca="1" si="3"/>
        <v>0</v>
      </c>
    </row>
    <row r="55" spans="1:15" ht="15" customHeight="1" x14ac:dyDescent="0.45">
      <c r="A55" s="81" t="str">
        <f ca="1">IFERROR(_xludf.xlookup('Pre-Audit Scoping'!$D$17&amp;"|"&amp;TEXT(37,"00"),State_Data!$I:$I,State_Data!$C:$C,""),"")</f>
        <v/>
      </c>
      <c r="B55" s="81" t="str">
        <f ca="1">IFERROR(_xludf.xlookup('Pre-Audit Scoping'!$D$17&amp;"|"&amp;TEXT(37,"00"),State_Data!$I:$I,State_Data!$D:$D,""),"")</f>
        <v/>
      </c>
      <c r="C55" s="81" t="str">
        <f ca="1">IFERROR(_xludf.xlookup('Pre-Audit Scoping'!$D$17&amp;"|"&amp;TEXT(37,"00"),State_Data!$I:$I,State_Data!$E:$E,""),"")</f>
        <v/>
      </c>
      <c r="D55" s="81" t="str">
        <f ca="1">IFERROR(_xludf.xlookup('Pre-Audit Scoping'!$D$17&amp;"|"&amp;TEXT(37,"00"),State_Data!$I:$I,State_Data!$F:$F,""),"")</f>
        <v/>
      </c>
      <c r="E55" s="81" t="s">
        <v>319</v>
      </c>
      <c r="F55" s="81">
        <f t="shared" ca="1" si="2"/>
        <v>0</v>
      </c>
      <c r="G55" s="81">
        <f ca="1">IFERROR(_xludf.xlookup('Pre-Audit Scoping'!$D$17&amp;"|"&amp;TEXT(37,"00"),State_Data!$I:$I,State_Data!$H:$H,0),0)</f>
        <v>0</v>
      </c>
      <c r="H55" s="81"/>
      <c r="I55" s="81"/>
      <c r="J55" s="81" t="str">
        <f ca="1">IFERROR(_xludf.xlookup('Pre-Audit Scoping'!$D$17&amp;"|"&amp;TEXT(37,"00"),State_Data!$I:$I,State_Data!$G:$G,""),"")</f>
        <v/>
      </c>
      <c r="K55" s="81"/>
      <c r="O55">
        <f t="shared" ca="1" si="3"/>
        <v>0</v>
      </c>
    </row>
    <row r="56" spans="1:15" ht="15" customHeight="1" x14ac:dyDescent="0.45">
      <c r="A56" s="82" t="str">
        <f ca="1">IFERROR(_xludf.xlookup('Pre-Audit Scoping'!$D$17&amp;"|"&amp;TEXT(38,"00"),State_Data!$I:$I,State_Data!$C:$C,""),"")</f>
        <v/>
      </c>
      <c r="B56" s="82" t="str">
        <f ca="1">IFERROR(_xludf.xlookup('Pre-Audit Scoping'!$D$17&amp;"|"&amp;TEXT(38,"00"),State_Data!$I:$I,State_Data!$D:$D,""),"")</f>
        <v/>
      </c>
      <c r="C56" s="82" t="str">
        <f ca="1">IFERROR(_xludf.xlookup('Pre-Audit Scoping'!$D$17&amp;"|"&amp;TEXT(38,"00"),State_Data!$I:$I,State_Data!$E:$E,""),"")</f>
        <v/>
      </c>
      <c r="D56" s="82" t="str">
        <f ca="1">IFERROR(_xludf.xlookup('Pre-Audit Scoping'!$D$17&amp;"|"&amp;TEXT(38,"00"),State_Data!$I:$I,State_Data!$F:$F,""),"")</f>
        <v/>
      </c>
      <c r="E56" s="82" t="s">
        <v>319</v>
      </c>
      <c r="F56" s="82">
        <f t="shared" ca="1" si="2"/>
        <v>0</v>
      </c>
      <c r="G56" s="82">
        <f ca="1">IFERROR(_xludf.xlookup('Pre-Audit Scoping'!$D$17&amp;"|"&amp;TEXT(38,"00"),State_Data!$I:$I,State_Data!$H:$H,0),0)</f>
        <v>0</v>
      </c>
      <c r="H56" s="82"/>
      <c r="I56" s="82"/>
      <c r="J56" s="82" t="str">
        <f ca="1">IFERROR(_xludf.xlookup('Pre-Audit Scoping'!$D$17&amp;"|"&amp;TEXT(38,"00"),State_Data!$I:$I,State_Data!$G:$G,""),"")</f>
        <v/>
      </c>
      <c r="K56" s="82"/>
      <c r="O56">
        <f t="shared" ca="1" si="3"/>
        <v>0</v>
      </c>
    </row>
    <row r="57" spans="1:15" ht="15" customHeight="1" x14ac:dyDescent="0.45">
      <c r="A57" s="81" t="str">
        <f ca="1">IFERROR(_xludf.xlookup('Pre-Audit Scoping'!$D$17&amp;"|"&amp;TEXT(39,"00"),State_Data!$I:$I,State_Data!$C:$C,""),"")</f>
        <v/>
      </c>
      <c r="B57" s="81" t="str">
        <f ca="1">IFERROR(_xludf.xlookup('Pre-Audit Scoping'!$D$17&amp;"|"&amp;TEXT(39,"00"),State_Data!$I:$I,State_Data!$D:$D,""),"")</f>
        <v/>
      </c>
      <c r="C57" s="81" t="str">
        <f ca="1">IFERROR(_xludf.xlookup('Pre-Audit Scoping'!$D$17&amp;"|"&amp;TEXT(39,"00"),State_Data!$I:$I,State_Data!$E:$E,""),"")</f>
        <v/>
      </c>
      <c r="D57" s="81" t="str">
        <f ca="1">IFERROR(_xludf.xlookup('Pre-Audit Scoping'!$D$17&amp;"|"&amp;TEXT(39,"00"),State_Data!$I:$I,State_Data!$F:$F,""),"")</f>
        <v/>
      </c>
      <c r="E57" s="81" t="s">
        <v>319</v>
      </c>
      <c r="F57" s="81">
        <f t="shared" ca="1" si="2"/>
        <v>0</v>
      </c>
      <c r="G57" s="81">
        <f ca="1">IFERROR(_xludf.xlookup('Pre-Audit Scoping'!$D$17&amp;"|"&amp;TEXT(39,"00"),State_Data!$I:$I,State_Data!$H:$H,0),0)</f>
        <v>0</v>
      </c>
      <c r="H57" s="81"/>
      <c r="I57" s="81"/>
      <c r="J57" s="81" t="str">
        <f ca="1">IFERROR(_xludf.xlookup('Pre-Audit Scoping'!$D$17&amp;"|"&amp;TEXT(39,"00"),State_Data!$I:$I,State_Data!$G:$G,""),"")</f>
        <v/>
      </c>
      <c r="K57" s="81"/>
      <c r="O57">
        <f t="shared" ca="1" si="3"/>
        <v>0</v>
      </c>
    </row>
    <row r="58" spans="1:15" ht="15" customHeight="1" x14ac:dyDescent="0.45">
      <c r="A58" s="82" t="str">
        <f ca="1">IFERROR(_xludf.xlookup('Pre-Audit Scoping'!$D$17&amp;"|"&amp;TEXT(40,"00"),State_Data!$I:$I,State_Data!$C:$C,""),"")</f>
        <v/>
      </c>
      <c r="B58" s="82" t="str">
        <f ca="1">IFERROR(_xludf.xlookup('Pre-Audit Scoping'!$D$17&amp;"|"&amp;TEXT(40,"00"),State_Data!$I:$I,State_Data!$D:$D,""),"")</f>
        <v/>
      </c>
      <c r="C58" s="82" t="str">
        <f ca="1">IFERROR(_xludf.xlookup('Pre-Audit Scoping'!$D$17&amp;"|"&amp;TEXT(40,"00"),State_Data!$I:$I,State_Data!$E:$E,""),"")</f>
        <v/>
      </c>
      <c r="D58" s="82" t="str">
        <f ca="1">IFERROR(_xludf.xlookup('Pre-Audit Scoping'!$D$17&amp;"|"&amp;TEXT(40,"00"),State_Data!$I:$I,State_Data!$F:$F,""),"")</f>
        <v/>
      </c>
      <c r="E58" s="82" t="s">
        <v>319</v>
      </c>
      <c r="F58" s="82">
        <f t="shared" ca="1" si="2"/>
        <v>0</v>
      </c>
      <c r="G58" s="82">
        <f ca="1">IFERROR(_xludf.xlookup('Pre-Audit Scoping'!$D$17&amp;"|"&amp;TEXT(40,"00"),State_Data!$I:$I,State_Data!$H:$H,0),0)</f>
        <v>0</v>
      </c>
      <c r="H58" s="82"/>
      <c r="I58" s="82"/>
      <c r="J58" s="82" t="str">
        <f ca="1">IFERROR(_xludf.xlookup('Pre-Audit Scoping'!$D$17&amp;"|"&amp;TEXT(40,"00"),State_Data!$I:$I,State_Data!$G:$G,""),"")</f>
        <v/>
      </c>
      <c r="K58" s="82"/>
      <c r="O58">
        <f t="shared" ca="1" si="3"/>
        <v>0</v>
      </c>
    </row>
    <row r="59" spans="1:15" ht="15" customHeight="1" x14ac:dyDescent="0.45">
      <c r="A59" s="81" t="str">
        <f ca="1">IFERROR(_xludf.xlookup('Pre-Audit Scoping'!$D$17&amp;"|"&amp;TEXT(41,"00"),State_Data!$I:$I,State_Data!$C:$C,""),"")</f>
        <v/>
      </c>
      <c r="B59" s="81" t="str">
        <f ca="1">IFERROR(_xludf.xlookup('Pre-Audit Scoping'!$D$17&amp;"|"&amp;TEXT(41,"00"),State_Data!$I:$I,State_Data!$D:$D,""),"")</f>
        <v/>
      </c>
      <c r="C59" s="81" t="str">
        <f ca="1">IFERROR(_xludf.xlookup('Pre-Audit Scoping'!$D$17&amp;"|"&amp;TEXT(41,"00"),State_Data!$I:$I,State_Data!$E:$E,""),"")</f>
        <v/>
      </c>
      <c r="D59" s="81" t="str">
        <f ca="1">IFERROR(_xludf.xlookup('Pre-Audit Scoping'!$D$17&amp;"|"&amp;TEXT(41,"00"),State_Data!$I:$I,State_Data!$F:$F,""),"")</f>
        <v/>
      </c>
      <c r="E59" s="81" t="s">
        <v>319</v>
      </c>
      <c r="F59" s="81">
        <f t="shared" ca="1" si="2"/>
        <v>0</v>
      </c>
      <c r="G59" s="81">
        <f ca="1">IFERROR(_xludf.xlookup('Pre-Audit Scoping'!$D$17&amp;"|"&amp;TEXT(41,"00"),State_Data!$I:$I,State_Data!$H:$H,0),0)</f>
        <v>0</v>
      </c>
      <c r="H59" s="81"/>
      <c r="I59" s="81"/>
      <c r="J59" s="81" t="str">
        <f ca="1">IFERROR(_xludf.xlookup('Pre-Audit Scoping'!$D$17&amp;"|"&amp;TEXT(41,"00"),State_Data!$I:$I,State_Data!$G:$G,""),"")</f>
        <v/>
      </c>
      <c r="K59" s="81"/>
      <c r="O59">
        <f t="shared" ca="1" si="3"/>
        <v>0</v>
      </c>
    </row>
    <row r="60" spans="1:15" ht="15" customHeight="1" x14ac:dyDescent="0.45">
      <c r="A60" s="82" t="str">
        <f ca="1">IFERROR(_xludf.xlookup('Pre-Audit Scoping'!$D$17&amp;"|"&amp;TEXT(42,"00"),State_Data!$I:$I,State_Data!$C:$C,""),"")</f>
        <v/>
      </c>
      <c r="B60" s="82" t="str">
        <f ca="1">IFERROR(_xludf.xlookup('Pre-Audit Scoping'!$D$17&amp;"|"&amp;TEXT(42,"00"),State_Data!$I:$I,State_Data!$D:$D,""),"")</f>
        <v/>
      </c>
      <c r="C60" s="82" t="str">
        <f ca="1">IFERROR(_xludf.xlookup('Pre-Audit Scoping'!$D$17&amp;"|"&amp;TEXT(42,"00"),State_Data!$I:$I,State_Data!$E:$E,""),"")</f>
        <v/>
      </c>
      <c r="D60" s="82" t="str">
        <f ca="1">IFERROR(_xludf.xlookup('Pre-Audit Scoping'!$D$17&amp;"|"&amp;TEXT(42,"00"),State_Data!$I:$I,State_Data!$F:$F,""),"")</f>
        <v/>
      </c>
      <c r="E60" s="82" t="s">
        <v>319</v>
      </c>
      <c r="F60" s="82">
        <f t="shared" ca="1" si="2"/>
        <v>0</v>
      </c>
      <c r="G60" s="82">
        <f ca="1">IFERROR(_xludf.xlookup('Pre-Audit Scoping'!$D$17&amp;"|"&amp;TEXT(42,"00"),State_Data!$I:$I,State_Data!$H:$H,0),0)</f>
        <v>0</v>
      </c>
      <c r="H60" s="82"/>
      <c r="I60" s="82"/>
      <c r="J60" s="82" t="str">
        <f ca="1">IFERROR(_xludf.xlookup('Pre-Audit Scoping'!$D$17&amp;"|"&amp;TEXT(42,"00"),State_Data!$I:$I,State_Data!$G:$G,""),"")</f>
        <v/>
      </c>
      <c r="K60" s="82"/>
      <c r="O60">
        <f t="shared" ca="1" si="3"/>
        <v>0</v>
      </c>
    </row>
    <row r="61" spans="1:15" ht="15" customHeight="1" x14ac:dyDescent="0.45">
      <c r="A61" s="81" t="str">
        <f ca="1">IFERROR(_xludf.xlookup('Pre-Audit Scoping'!$D$17&amp;"|"&amp;TEXT(43,"00"),State_Data!$I:$I,State_Data!$C:$C,""),"")</f>
        <v/>
      </c>
      <c r="B61" s="81" t="str">
        <f ca="1">IFERROR(_xludf.xlookup('Pre-Audit Scoping'!$D$17&amp;"|"&amp;TEXT(43,"00"),State_Data!$I:$I,State_Data!$D:$D,""),"")</f>
        <v/>
      </c>
      <c r="C61" s="81" t="str">
        <f ca="1">IFERROR(_xludf.xlookup('Pre-Audit Scoping'!$D$17&amp;"|"&amp;TEXT(43,"00"),State_Data!$I:$I,State_Data!$E:$E,""),"")</f>
        <v/>
      </c>
      <c r="D61" s="81" t="str">
        <f ca="1">IFERROR(_xludf.xlookup('Pre-Audit Scoping'!$D$17&amp;"|"&amp;TEXT(43,"00"),State_Data!$I:$I,State_Data!$F:$F,""),"")</f>
        <v/>
      </c>
      <c r="E61" s="81" t="s">
        <v>319</v>
      </c>
      <c r="F61" s="81">
        <f t="shared" ca="1" si="2"/>
        <v>0</v>
      </c>
      <c r="G61" s="81">
        <f ca="1">IFERROR(_xludf.xlookup('Pre-Audit Scoping'!$D$17&amp;"|"&amp;TEXT(43,"00"),State_Data!$I:$I,State_Data!$H:$H,0),0)</f>
        <v>0</v>
      </c>
      <c r="H61" s="81"/>
      <c r="I61" s="81"/>
      <c r="J61" s="81" t="str">
        <f ca="1">IFERROR(_xludf.xlookup('Pre-Audit Scoping'!$D$17&amp;"|"&amp;TEXT(43,"00"),State_Data!$I:$I,State_Data!$G:$G,""),"")</f>
        <v/>
      </c>
      <c r="K61" s="81"/>
      <c r="O61">
        <f t="shared" ca="1" si="3"/>
        <v>0</v>
      </c>
    </row>
    <row r="62" spans="1:15" ht="15" customHeight="1" x14ac:dyDescent="0.45">
      <c r="A62" s="82" t="str">
        <f ca="1">IFERROR(_xludf.xlookup('Pre-Audit Scoping'!$D$17&amp;"|"&amp;TEXT(44,"00"),State_Data!$I:$I,State_Data!$C:$C,""),"")</f>
        <v/>
      </c>
      <c r="B62" s="82" t="str">
        <f ca="1">IFERROR(_xludf.xlookup('Pre-Audit Scoping'!$D$17&amp;"|"&amp;TEXT(44,"00"),State_Data!$I:$I,State_Data!$D:$D,""),"")</f>
        <v/>
      </c>
      <c r="C62" s="82" t="str">
        <f ca="1">IFERROR(_xludf.xlookup('Pre-Audit Scoping'!$D$17&amp;"|"&amp;TEXT(44,"00"),State_Data!$I:$I,State_Data!$E:$E,""),"")</f>
        <v/>
      </c>
      <c r="D62" s="82" t="str">
        <f ca="1">IFERROR(_xludf.xlookup('Pre-Audit Scoping'!$D$17&amp;"|"&amp;TEXT(44,"00"),State_Data!$I:$I,State_Data!$F:$F,""),"")</f>
        <v/>
      </c>
      <c r="E62" s="82" t="s">
        <v>319</v>
      </c>
      <c r="F62" s="82">
        <f t="shared" ca="1" si="2"/>
        <v>0</v>
      </c>
      <c r="G62" s="82">
        <f ca="1">IFERROR(_xludf.xlookup('Pre-Audit Scoping'!$D$17&amp;"|"&amp;TEXT(44,"00"),State_Data!$I:$I,State_Data!$H:$H,0),0)</f>
        <v>0</v>
      </c>
      <c r="H62" s="82"/>
      <c r="I62" s="82"/>
      <c r="J62" s="82" t="str">
        <f ca="1">IFERROR(_xludf.xlookup('Pre-Audit Scoping'!$D$17&amp;"|"&amp;TEXT(44,"00"),State_Data!$I:$I,State_Data!$G:$G,""),"")</f>
        <v/>
      </c>
      <c r="K62" s="82"/>
      <c r="O62">
        <f t="shared" ca="1" si="3"/>
        <v>0</v>
      </c>
    </row>
    <row r="63" spans="1:15" ht="15" customHeight="1" x14ac:dyDescent="0.45">
      <c r="A63" s="81" t="str">
        <f ca="1">IFERROR(_xludf.xlookup('Pre-Audit Scoping'!$D$17&amp;"|"&amp;TEXT(45,"00"),State_Data!$I:$I,State_Data!$C:$C,""),"")</f>
        <v/>
      </c>
      <c r="B63" s="81" t="str">
        <f ca="1">IFERROR(_xludf.xlookup('Pre-Audit Scoping'!$D$17&amp;"|"&amp;TEXT(45,"00"),State_Data!$I:$I,State_Data!$D:$D,""),"")</f>
        <v/>
      </c>
      <c r="C63" s="81" t="str">
        <f ca="1">IFERROR(_xludf.xlookup('Pre-Audit Scoping'!$D$17&amp;"|"&amp;TEXT(45,"00"),State_Data!$I:$I,State_Data!$E:$E,""),"")</f>
        <v/>
      </c>
      <c r="D63" s="81" t="str">
        <f ca="1">IFERROR(_xludf.xlookup('Pre-Audit Scoping'!$D$17&amp;"|"&amp;TEXT(45,"00"),State_Data!$I:$I,State_Data!$F:$F,""),"")</f>
        <v/>
      </c>
      <c r="E63" s="81" t="s">
        <v>319</v>
      </c>
      <c r="F63" s="81">
        <f t="shared" ca="1" si="2"/>
        <v>0</v>
      </c>
      <c r="G63" s="81">
        <f ca="1">IFERROR(_xludf.xlookup('Pre-Audit Scoping'!$D$17&amp;"|"&amp;TEXT(45,"00"),State_Data!$I:$I,State_Data!$H:$H,0),0)</f>
        <v>0</v>
      </c>
      <c r="H63" s="81"/>
      <c r="I63" s="81"/>
      <c r="J63" s="81" t="str">
        <f ca="1">IFERROR(_xludf.xlookup('Pre-Audit Scoping'!$D$17&amp;"|"&amp;TEXT(45,"00"),State_Data!$I:$I,State_Data!$G:$G,""),"")</f>
        <v/>
      </c>
      <c r="K63" s="81"/>
      <c r="O63">
        <f t="shared" ca="1" si="3"/>
        <v>0</v>
      </c>
    </row>
    <row r="64" spans="1:15" ht="15" customHeight="1" x14ac:dyDescent="0.45">
      <c r="A64" s="82" t="str">
        <f ca="1">IFERROR(_xludf.xlookup('Pre-Audit Scoping'!$D$17&amp;"|"&amp;TEXT(46,"00"),State_Data!$I:$I,State_Data!$C:$C,""),"")</f>
        <v/>
      </c>
      <c r="B64" s="82" t="str">
        <f ca="1">IFERROR(_xludf.xlookup('Pre-Audit Scoping'!$D$17&amp;"|"&amp;TEXT(46,"00"),State_Data!$I:$I,State_Data!$D:$D,""),"")</f>
        <v/>
      </c>
      <c r="C64" s="82" t="str">
        <f ca="1">IFERROR(_xludf.xlookup('Pre-Audit Scoping'!$D$17&amp;"|"&amp;TEXT(46,"00"),State_Data!$I:$I,State_Data!$E:$E,""),"")</f>
        <v/>
      </c>
      <c r="D64" s="82" t="str">
        <f ca="1">IFERROR(_xludf.xlookup('Pre-Audit Scoping'!$D$17&amp;"|"&amp;TEXT(46,"00"),State_Data!$I:$I,State_Data!$F:$F,""),"")</f>
        <v/>
      </c>
      <c r="E64" s="82" t="s">
        <v>319</v>
      </c>
      <c r="F64" s="82">
        <f t="shared" ca="1" si="2"/>
        <v>0</v>
      </c>
      <c r="G64" s="82">
        <f ca="1">IFERROR(_xludf.xlookup('Pre-Audit Scoping'!$D$17&amp;"|"&amp;TEXT(46,"00"),State_Data!$I:$I,State_Data!$H:$H,0),0)</f>
        <v>0</v>
      </c>
      <c r="H64" s="82"/>
      <c r="I64" s="82"/>
      <c r="J64" s="82" t="str">
        <f ca="1">IFERROR(_xludf.xlookup('Pre-Audit Scoping'!$D$17&amp;"|"&amp;TEXT(46,"00"),State_Data!$I:$I,State_Data!$G:$G,""),"")</f>
        <v/>
      </c>
      <c r="K64" s="82"/>
      <c r="O64">
        <f t="shared" ca="1" si="3"/>
        <v>0</v>
      </c>
    </row>
    <row r="65" spans="1:15" ht="15" customHeight="1" x14ac:dyDescent="0.45">
      <c r="A65" s="81" t="str">
        <f ca="1">IFERROR(_xludf.xlookup('Pre-Audit Scoping'!$D$17&amp;"|"&amp;TEXT(47,"00"),State_Data!$I:$I,State_Data!$C:$C,""),"")</f>
        <v/>
      </c>
      <c r="B65" s="81" t="str">
        <f ca="1">IFERROR(_xludf.xlookup('Pre-Audit Scoping'!$D$17&amp;"|"&amp;TEXT(47,"00"),State_Data!$I:$I,State_Data!$D:$D,""),"")</f>
        <v/>
      </c>
      <c r="C65" s="81" t="str">
        <f ca="1">IFERROR(_xludf.xlookup('Pre-Audit Scoping'!$D$17&amp;"|"&amp;TEXT(47,"00"),State_Data!$I:$I,State_Data!$E:$E,""),"")</f>
        <v/>
      </c>
      <c r="D65" s="81" t="str">
        <f ca="1">IFERROR(_xludf.xlookup('Pre-Audit Scoping'!$D$17&amp;"|"&amp;TEXT(47,"00"),State_Data!$I:$I,State_Data!$F:$F,""),"")</f>
        <v/>
      </c>
      <c r="E65" s="81" t="s">
        <v>319</v>
      </c>
      <c r="F65" s="81">
        <f t="shared" ca="1" si="2"/>
        <v>0</v>
      </c>
      <c r="G65" s="81">
        <f ca="1">IFERROR(_xludf.xlookup('Pre-Audit Scoping'!$D$17&amp;"|"&amp;TEXT(47,"00"),State_Data!$I:$I,State_Data!$H:$H,0),0)</f>
        <v>0</v>
      </c>
      <c r="H65" s="81"/>
      <c r="I65" s="81"/>
      <c r="J65" s="81" t="str">
        <f ca="1">IFERROR(_xludf.xlookup('Pre-Audit Scoping'!$D$17&amp;"|"&amp;TEXT(47,"00"),State_Data!$I:$I,State_Data!$G:$G,""),"")</f>
        <v/>
      </c>
      <c r="K65" s="81"/>
      <c r="O65">
        <f t="shared" ca="1" si="3"/>
        <v>0</v>
      </c>
    </row>
    <row r="66" spans="1:15" ht="15" customHeight="1" x14ac:dyDescent="0.45">
      <c r="A66" s="82" t="str">
        <f ca="1">IFERROR(_xludf.xlookup('Pre-Audit Scoping'!$D$17&amp;"|"&amp;TEXT(48,"00"),State_Data!$I:$I,State_Data!$C:$C,""),"")</f>
        <v/>
      </c>
      <c r="B66" s="82" t="str">
        <f ca="1">IFERROR(_xludf.xlookup('Pre-Audit Scoping'!$D$17&amp;"|"&amp;TEXT(48,"00"),State_Data!$I:$I,State_Data!$D:$D,""),"")</f>
        <v/>
      </c>
      <c r="C66" s="82" t="str">
        <f ca="1">IFERROR(_xludf.xlookup('Pre-Audit Scoping'!$D$17&amp;"|"&amp;TEXT(48,"00"),State_Data!$I:$I,State_Data!$E:$E,""),"")</f>
        <v/>
      </c>
      <c r="D66" s="82" t="str">
        <f ca="1">IFERROR(_xludf.xlookup('Pre-Audit Scoping'!$D$17&amp;"|"&amp;TEXT(48,"00"),State_Data!$I:$I,State_Data!$F:$F,""),"")</f>
        <v/>
      </c>
      <c r="E66" s="82" t="s">
        <v>319</v>
      </c>
      <c r="F66" s="82">
        <f t="shared" ca="1" si="2"/>
        <v>0</v>
      </c>
      <c r="G66" s="82">
        <f ca="1">IFERROR(_xludf.xlookup('Pre-Audit Scoping'!$D$17&amp;"|"&amp;TEXT(48,"00"),State_Data!$I:$I,State_Data!$H:$H,0),0)</f>
        <v>0</v>
      </c>
      <c r="H66" s="82"/>
      <c r="I66" s="82"/>
      <c r="J66" s="82" t="str">
        <f ca="1">IFERROR(_xludf.xlookup('Pre-Audit Scoping'!$D$17&amp;"|"&amp;TEXT(48,"00"),State_Data!$I:$I,State_Data!$G:$G,""),"")</f>
        <v/>
      </c>
      <c r="K66" s="82"/>
      <c r="O66">
        <f t="shared" ca="1" si="3"/>
        <v>0</v>
      </c>
    </row>
    <row r="67" spans="1:15" ht="15" customHeight="1" x14ac:dyDescent="0.45">
      <c r="A67" s="81" t="str">
        <f ca="1">IFERROR(_xludf.xlookup('Pre-Audit Scoping'!$D$17&amp;"|"&amp;TEXT(49,"00"),State_Data!$I:$I,State_Data!$C:$C,""),"")</f>
        <v/>
      </c>
      <c r="B67" s="81" t="str">
        <f ca="1">IFERROR(_xludf.xlookup('Pre-Audit Scoping'!$D$17&amp;"|"&amp;TEXT(49,"00"),State_Data!$I:$I,State_Data!$D:$D,""),"")</f>
        <v/>
      </c>
      <c r="C67" s="81" t="str">
        <f ca="1">IFERROR(_xludf.xlookup('Pre-Audit Scoping'!$D$17&amp;"|"&amp;TEXT(49,"00"),State_Data!$I:$I,State_Data!$E:$E,""),"")</f>
        <v/>
      </c>
      <c r="D67" s="81" t="str">
        <f ca="1">IFERROR(_xludf.xlookup('Pre-Audit Scoping'!$D$17&amp;"|"&amp;TEXT(49,"00"),State_Data!$I:$I,State_Data!$F:$F,""),"")</f>
        <v/>
      </c>
      <c r="E67" s="81" t="s">
        <v>319</v>
      </c>
      <c r="F67" s="81">
        <f t="shared" ca="1" si="2"/>
        <v>0</v>
      </c>
      <c r="G67" s="81">
        <f ca="1">IFERROR(_xludf.xlookup('Pre-Audit Scoping'!$D$17&amp;"|"&amp;TEXT(49,"00"),State_Data!$I:$I,State_Data!$H:$H,0),0)</f>
        <v>0</v>
      </c>
      <c r="H67" s="81"/>
      <c r="I67" s="81"/>
      <c r="J67" s="81" t="str">
        <f ca="1">IFERROR(_xludf.xlookup('Pre-Audit Scoping'!$D$17&amp;"|"&amp;TEXT(49,"00"),State_Data!$I:$I,State_Data!$G:$G,""),"")</f>
        <v/>
      </c>
      <c r="K67" s="81"/>
      <c r="O67">
        <f t="shared" ca="1" si="3"/>
        <v>0</v>
      </c>
    </row>
    <row r="68" spans="1:15" ht="15" customHeight="1" x14ac:dyDescent="0.45">
      <c r="A68" s="82" t="str">
        <f ca="1">IFERROR(_xludf.xlookup('Pre-Audit Scoping'!$D$17&amp;"|"&amp;TEXT(50,"00"),State_Data!$I:$I,State_Data!$C:$C,""),"")</f>
        <v/>
      </c>
      <c r="B68" s="82" t="str">
        <f ca="1">IFERROR(_xludf.xlookup('Pre-Audit Scoping'!$D$17&amp;"|"&amp;TEXT(50,"00"),State_Data!$I:$I,State_Data!$D:$D,""),"")</f>
        <v/>
      </c>
      <c r="C68" s="82" t="str">
        <f ca="1">IFERROR(_xludf.xlookup('Pre-Audit Scoping'!$D$17&amp;"|"&amp;TEXT(50,"00"),State_Data!$I:$I,State_Data!$E:$E,""),"")</f>
        <v/>
      </c>
      <c r="D68" s="82" t="str">
        <f ca="1">IFERROR(_xludf.xlookup('Pre-Audit Scoping'!$D$17&amp;"|"&amp;TEXT(50,"00"),State_Data!$I:$I,State_Data!$F:$F,""),"")</f>
        <v/>
      </c>
      <c r="E68" s="82" t="s">
        <v>319</v>
      </c>
      <c r="F68" s="82">
        <f t="shared" ca="1" si="2"/>
        <v>0</v>
      </c>
      <c r="G68" s="82">
        <f ca="1">IFERROR(_xludf.xlookup('Pre-Audit Scoping'!$D$17&amp;"|"&amp;TEXT(50,"00"),State_Data!$I:$I,State_Data!$H:$H,0),0)</f>
        <v>0</v>
      </c>
      <c r="H68" s="82"/>
      <c r="I68" s="82"/>
      <c r="J68" s="82" t="str">
        <f ca="1">IFERROR(_xludf.xlookup('Pre-Audit Scoping'!$D$17&amp;"|"&amp;TEXT(50,"00"),State_Data!$I:$I,State_Data!$G:$G,""),"")</f>
        <v/>
      </c>
      <c r="K68" s="82"/>
      <c r="O68">
        <f t="shared" ca="1" si="3"/>
        <v>0</v>
      </c>
    </row>
    <row r="69" spans="1:15" ht="15" customHeight="1" x14ac:dyDescent="0.45">
      <c r="A69" s="81" t="str">
        <f ca="1">IFERROR(_xludf.xlookup('Pre-Audit Scoping'!$D$17&amp;"|"&amp;TEXT(51,"00"),State_Data!$I:$I,State_Data!$C:$C,""),"")</f>
        <v/>
      </c>
      <c r="B69" s="81" t="str">
        <f ca="1">IFERROR(_xludf.xlookup('Pre-Audit Scoping'!$D$17&amp;"|"&amp;TEXT(51,"00"),State_Data!$I:$I,State_Data!$D:$D,""),"")</f>
        <v/>
      </c>
      <c r="C69" s="81" t="str">
        <f ca="1">IFERROR(_xludf.xlookup('Pre-Audit Scoping'!$D$17&amp;"|"&amp;TEXT(51,"00"),State_Data!$I:$I,State_Data!$E:$E,""),"")</f>
        <v/>
      </c>
      <c r="D69" s="81" t="str">
        <f ca="1">IFERROR(_xludf.xlookup('Pre-Audit Scoping'!$D$17&amp;"|"&amp;TEXT(51,"00"),State_Data!$I:$I,State_Data!$F:$F,""),"")</f>
        <v/>
      </c>
      <c r="E69" s="81" t="s">
        <v>319</v>
      </c>
      <c r="F69" s="81">
        <f t="shared" ca="1" si="2"/>
        <v>0</v>
      </c>
      <c r="G69" s="81">
        <f ca="1">IFERROR(_xludf.xlookup('Pre-Audit Scoping'!$D$17&amp;"|"&amp;TEXT(51,"00"),State_Data!$I:$I,State_Data!$H:$H,0),0)</f>
        <v>0</v>
      </c>
      <c r="H69" s="81"/>
      <c r="I69" s="81"/>
      <c r="J69" s="81" t="str">
        <f ca="1">IFERROR(_xludf.xlookup('Pre-Audit Scoping'!$D$17&amp;"|"&amp;TEXT(51,"00"),State_Data!$I:$I,State_Data!$G:$G,""),"")</f>
        <v/>
      </c>
      <c r="K69" s="81"/>
      <c r="O69">
        <f t="shared" ca="1" si="3"/>
        <v>0</v>
      </c>
    </row>
    <row r="70" spans="1:15" ht="15" customHeight="1" x14ac:dyDescent="0.45">
      <c r="A70" s="82" t="str">
        <f ca="1">IFERROR(_xludf.xlookup('Pre-Audit Scoping'!$D$17&amp;"|"&amp;TEXT(52,"00"),State_Data!$I:$I,State_Data!$C:$C,""),"")</f>
        <v/>
      </c>
      <c r="B70" s="82" t="str">
        <f ca="1">IFERROR(_xludf.xlookup('Pre-Audit Scoping'!$D$17&amp;"|"&amp;TEXT(52,"00"),State_Data!$I:$I,State_Data!$D:$D,""),"")</f>
        <v/>
      </c>
      <c r="C70" s="82" t="str">
        <f ca="1">IFERROR(_xludf.xlookup('Pre-Audit Scoping'!$D$17&amp;"|"&amp;TEXT(52,"00"),State_Data!$I:$I,State_Data!$E:$E,""),"")</f>
        <v/>
      </c>
      <c r="D70" s="82" t="str">
        <f ca="1">IFERROR(_xludf.xlookup('Pre-Audit Scoping'!$D$17&amp;"|"&amp;TEXT(52,"00"),State_Data!$I:$I,State_Data!$F:$F,""),"")</f>
        <v/>
      </c>
      <c r="E70" s="82" t="s">
        <v>319</v>
      </c>
      <c r="F70" s="82">
        <f t="shared" ca="1" si="2"/>
        <v>0</v>
      </c>
      <c r="G70" s="82">
        <f ca="1">IFERROR(_xludf.xlookup('Pre-Audit Scoping'!$D$17&amp;"|"&amp;TEXT(52,"00"),State_Data!$I:$I,State_Data!$H:$H,0),0)</f>
        <v>0</v>
      </c>
      <c r="H70" s="82"/>
      <c r="I70" s="82"/>
      <c r="J70" s="82" t="str">
        <f ca="1">IFERROR(_xludf.xlookup('Pre-Audit Scoping'!$D$17&amp;"|"&amp;TEXT(52,"00"),State_Data!$I:$I,State_Data!$G:$G,""),"")</f>
        <v/>
      </c>
      <c r="K70" s="82"/>
      <c r="O70">
        <f t="shared" ca="1" si="3"/>
        <v>0</v>
      </c>
    </row>
    <row r="71" spans="1:15" ht="15" customHeight="1" x14ac:dyDescent="0.45">
      <c r="A71" s="81" t="str">
        <f ca="1">IFERROR(_xludf.xlookup('Pre-Audit Scoping'!$D$17&amp;"|"&amp;TEXT(53,"00"),State_Data!$I:$I,State_Data!$C:$C,""),"")</f>
        <v/>
      </c>
      <c r="B71" s="81" t="str">
        <f ca="1">IFERROR(_xludf.xlookup('Pre-Audit Scoping'!$D$17&amp;"|"&amp;TEXT(53,"00"),State_Data!$I:$I,State_Data!$D:$D,""),"")</f>
        <v/>
      </c>
      <c r="C71" s="81" t="str">
        <f ca="1">IFERROR(_xludf.xlookup('Pre-Audit Scoping'!$D$17&amp;"|"&amp;TEXT(53,"00"),State_Data!$I:$I,State_Data!$E:$E,""),"")</f>
        <v/>
      </c>
      <c r="D71" s="81" t="str">
        <f ca="1">IFERROR(_xludf.xlookup('Pre-Audit Scoping'!$D$17&amp;"|"&amp;TEXT(53,"00"),State_Data!$I:$I,State_Data!$F:$F,""),"")</f>
        <v/>
      </c>
      <c r="E71" s="81" t="s">
        <v>319</v>
      </c>
      <c r="F71" s="81">
        <f t="shared" ca="1" si="2"/>
        <v>0</v>
      </c>
      <c r="G71" s="81">
        <f ca="1">IFERROR(_xludf.xlookup('Pre-Audit Scoping'!$D$17&amp;"|"&amp;TEXT(53,"00"),State_Data!$I:$I,State_Data!$H:$H,0),0)</f>
        <v>0</v>
      </c>
      <c r="H71" s="81"/>
      <c r="I71" s="81"/>
      <c r="J71" s="81" t="str">
        <f ca="1">IFERROR(_xludf.xlookup('Pre-Audit Scoping'!$D$17&amp;"|"&amp;TEXT(53,"00"),State_Data!$I:$I,State_Data!$G:$G,""),"")</f>
        <v/>
      </c>
      <c r="K71" s="81"/>
      <c r="O71">
        <f t="shared" ca="1" si="3"/>
        <v>0</v>
      </c>
    </row>
    <row r="72" spans="1:15" ht="15" customHeight="1" x14ac:dyDescent="0.45">
      <c r="A72" s="82" t="str">
        <f ca="1">IFERROR(_xludf.xlookup('Pre-Audit Scoping'!$D$17&amp;"|"&amp;TEXT(54,"00"),State_Data!$I:$I,State_Data!$C:$C,""),"")</f>
        <v/>
      </c>
      <c r="B72" s="82" t="str">
        <f ca="1">IFERROR(_xludf.xlookup('Pre-Audit Scoping'!$D$17&amp;"|"&amp;TEXT(54,"00"),State_Data!$I:$I,State_Data!$D:$D,""),"")</f>
        <v/>
      </c>
      <c r="C72" s="82" t="str">
        <f ca="1">IFERROR(_xludf.xlookup('Pre-Audit Scoping'!$D$17&amp;"|"&amp;TEXT(54,"00"),State_Data!$I:$I,State_Data!$E:$E,""),"")</f>
        <v/>
      </c>
      <c r="D72" s="82" t="str">
        <f ca="1">IFERROR(_xludf.xlookup('Pre-Audit Scoping'!$D$17&amp;"|"&amp;TEXT(54,"00"),State_Data!$I:$I,State_Data!$F:$F,""),"")</f>
        <v/>
      </c>
      <c r="E72" s="82" t="s">
        <v>319</v>
      </c>
      <c r="F72" s="82">
        <f t="shared" ca="1" si="2"/>
        <v>0</v>
      </c>
      <c r="G72" s="82">
        <f ca="1">IFERROR(_xludf.xlookup('Pre-Audit Scoping'!$D$17&amp;"|"&amp;TEXT(54,"00"),State_Data!$I:$I,State_Data!$H:$H,0),0)</f>
        <v>0</v>
      </c>
      <c r="H72" s="82"/>
      <c r="I72" s="82"/>
      <c r="J72" s="82" t="str">
        <f ca="1">IFERROR(_xludf.xlookup('Pre-Audit Scoping'!$D$17&amp;"|"&amp;TEXT(54,"00"),State_Data!$I:$I,State_Data!$G:$G,""),"")</f>
        <v/>
      </c>
      <c r="K72" s="82"/>
      <c r="O72">
        <f t="shared" ca="1" si="3"/>
        <v>0</v>
      </c>
    </row>
    <row r="73" spans="1:15" ht="15" customHeight="1" x14ac:dyDescent="0.45">
      <c r="A73" s="81" t="str">
        <f ca="1">IFERROR(_xludf.xlookup('Pre-Audit Scoping'!$D$17&amp;"|"&amp;TEXT(55,"00"),State_Data!$I:$I,State_Data!$C:$C,""),"")</f>
        <v/>
      </c>
      <c r="B73" s="81" t="str">
        <f ca="1">IFERROR(_xludf.xlookup('Pre-Audit Scoping'!$D$17&amp;"|"&amp;TEXT(55,"00"),State_Data!$I:$I,State_Data!$D:$D,""),"")</f>
        <v/>
      </c>
      <c r="C73" s="81" t="str">
        <f ca="1">IFERROR(_xludf.xlookup('Pre-Audit Scoping'!$D$17&amp;"|"&amp;TEXT(55,"00"),State_Data!$I:$I,State_Data!$E:$E,""),"")</f>
        <v/>
      </c>
      <c r="D73" s="81" t="str">
        <f ca="1">IFERROR(_xludf.xlookup('Pre-Audit Scoping'!$D$17&amp;"|"&amp;TEXT(55,"00"),State_Data!$I:$I,State_Data!$F:$F,""),"")</f>
        <v/>
      </c>
      <c r="E73" s="81" t="s">
        <v>319</v>
      </c>
      <c r="F73" s="81">
        <f t="shared" ca="1" si="2"/>
        <v>0</v>
      </c>
      <c r="G73" s="81">
        <f ca="1">IFERROR(_xludf.xlookup('Pre-Audit Scoping'!$D$17&amp;"|"&amp;TEXT(55,"00"),State_Data!$I:$I,State_Data!$H:$H,0),0)</f>
        <v>0</v>
      </c>
      <c r="H73" s="81"/>
      <c r="I73" s="81"/>
      <c r="J73" s="81" t="str">
        <f ca="1">IFERROR(_xludf.xlookup('Pre-Audit Scoping'!$D$17&amp;"|"&amp;TEXT(55,"00"),State_Data!$I:$I,State_Data!$G:$G,""),"")</f>
        <v/>
      </c>
      <c r="K73" s="81"/>
      <c r="O73">
        <f t="shared" ca="1" si="3"/>
        <v>0</v>
      </c>
    </row>
    <row r="74" spans="1:15" ht="15" customHeight="1" x14ac:dyDescent="0.45">
      <c r="A74" s="82" t="str">
        <f ca="1">IFERROR(_xludf.xlookup('Pre-Audit Scoping'!$D$17&amp;"|"&amp;TEXT(56,"00"),State_Data!$I:$I,State_Data!$C:$C,""),"")</f>
        <v/>
      </c>
      <c r="B74" s="82" t="str">
        <f ca="1">IFERROR(_xludf.xlookup('Pre-Audit Scoping'!$D$17&amp;"|"&amp;TEXT(56,"00"),State_Data!$I:$I,State_Data!$D:$D,""),"")</f>
        <v/>
      </c>
      <c r="C74" s="82" t="str">
        <f ca="1">IFERROR(_xludf.xlookup('Pre-Audit Scoping'!$D$17&amp;"|"&amp;TEXT(56,"00"),State_Data!$I:$I,State_Data!$E:$E,""),"")</f>
        <v/>
      </c>
      <c r="D74" s="82" t="str">
        <f ca="1">IFERROR(_xludf.xlookup('Pre-Audit Scoping'!$D$17&amp;"|"&amp;TEXT(56,"00"),State_Data!$I:$I,State_Data!$F:$F,""),"")</f>
        <v/>
      </c>
      <c r="E74" s="82" t="s">
        <v>319</v>
      </c>
      <c r="F74" s="82">
        <f t="shared" ca="1" si="2"/>
        <v>0</v>
      </c>
      <c r="G74" s="82">
        <f ca="1">IFERROR(_xludf.xlookup('Pre-Audit Scoping'!$D$17&amp;"|"&amp;TEXT(56,"00"),State_Data!$I:$I,State_Data!$H:$H,0),0)</f>
        <v>0</v>
      </c>
      <c r="H74" s="82"/>
      <c r="I74" s="82"/>
      <c r="J74" s="82" t="str">
        <f ca="1">IFERROR(_xludf.xlookup('Pre-Audit Scoping'!$D$17&amp;"|"&amp;TEXT(56,"00"),State_Data!$I:$I,State_Data!$G:$G,""),"")</f>
        <v/>
      </c>
      <c r="K74" s="82"/>
      <c r="O74">
        <f t="shared" ca="1" si="3"/>
        <v>0</v>
      </c>
    </row>
    <row r="75" spans="1:15" ht="15" customHeight="1" x14ac:dyDescent="0.45">
      <c r="A75" s="81" t="str">
        <f ca="1">IFERROR(_xludf.xlookup('Pre-Audit Scoping'!$D$17&amp;"|"&amp;TEXT(57,"00"),State_Data!$I:$I,State_Data!$C:$C,""),"")</f>
        <v/>
      </c>
      <c r="B75" s="81" t="str">
        <f ca="1">IFERROR(_xludf.xlookup('Pre-Audit Scoping'!$D$17&amp;"|"&amp;TEXT(57,"00"),State_Data!$I:$I,State_Data!$D:$D,""),"")</f>
        <v/>
      </c>
      <c r="C75" s="81" t="str">
        <f ca="1">IFERROR(_xludf.xlookup('Pre-Audit Scoping'!$D$17&amp;"|"&amp;TEXT(57,"00"),State_Data!$I:$I,State_Data!$E:$E,""),"")</f>
        <v/>
      </c>
      <c r="D75" s="81" t="str">
        <f ca="1">IFERROR(_xludf.xlookup('Pre-Audit Scoping'!$D$17&amp;"|"&amp;TEXT(57,"00"),State_Data!$I:$I,State_Data!$F:$F,""),"")</f>
        <v/>
      </c>
      <c r="E75" s="81" t="s">
        <v>319</v>
      </c>
      <c r="F75" s="81">
        <f t="shared" ca="1" si="2"/>
        <v>0</v>
      </c>
      <c r="G75" s="81">
        <f ca="1">IFERROR(_xludf.xlookup('Pre-Audit Scoping'!$D$17&amp;"|"&amp;TEXT(57,"00"),State_Data!$I:$I,State_Data!$H:$H,0),0)</f>
        <v>0</v>
      </c>
      <c r="H75" s="81"/>
      <c r="I75" s="81"/>
      <c r="J75" s="81" t="str">
        <f ca="1">IFERROR(_xludf.xlookup('Pre-Audit Scoping'!$D$17&amp;"|"&amp;TEXT(57,"00"),State_Data!$I:$I,State_Data!$G:$G,""),"")</f>
        <v/>
      </c>
      <c r="K75" s="81"/>
      <c r="O75">
        <f t="shared" ca="1" si="3"/>
        <v>0</v>
      </c>
    </row>
    <row r="76" spans="1:15" ht="15" customHeight="1" x14ac:dyDescent="0.45">
      <c r="A76" s="82" t="str">
        <f ca="1">IFERROR(_xludf.xlookup('Pre-Audit Scoping'!$D$17&amp;"|"&amp;TEXT(58,"00"),State_Data!$I:$I,State_Data!$C:$C,""),"")</f>
        <v/>
      </c>
      <c r="B76" s="82" t="str">
        <f ca="1">IFERROR(_xludf.xlookup('Pre-Audit Scoping'!$D$17&amp;"|"&amp;TEXT(58,"00"),State_Data!$I:$I,State_Data!$D:$D,""),"")</f>
        <v/>
      </c>
      <c r="C76" s="82" t="str">
        <f ca="1">IFERROR(_xludf.xlookup('Pre-Audit Scoping'!$D$17&amp;"|"&amp;TEXT(58,"00"),State_Data!$I:$I,State_Data!$E:$E,""),"")</f>
        <v/>
      </c>
      <c r="D76" s="82" t="str">
        <f ca="1">IFERROR(_xludf.xlookup('Pre-Audit Scoping'!$D$17&amp;"|"&amp;TEXT(58,"00"),State_Data!$I:$I,State_Data!$F:$F,""),"")</f>
        <v/>
      </c>
      <c r="E76" s="82" t="s">
        <v>319</v>
      </c>
      <c r="F76" s="82">
        <f t="shared" ca="1" si="2"/>
        <v>0</v>
      </c>
      <c r="G76" s="82">
        <f ca="1">IFERROR(_xludf.xlookup('Pre-Audit Scoping'!$D$17&amp;"|"&amp;TEXT(58,"00"),State_Data!$I:$I,State_Data!$H:$H,0),0)</f>
        <v>0</v>
      </c>
      <c r="H76" s="82"/>
      <c r="I76" s="82"/>
      <c r="J76" s="82" t="str">
        <f ca="1">IFERROR(_xludf.xlookup('Pre-Audit Scoping'!$D$17&amp;"|"&amp;TEXT(58,"00"),State_Data!$I:$I,State_Data!$G:$G,""),"")</f>
        <v/>
      </c>
      <c r="K76" s="82"/>
      <c r="O76">
        <f t="shared" ca="1" si="3"/>
        <v>0</v>
      </c>
    </row>
    <row r="77" spans="1:15" ht="15" customHeight="1" x14ac:dyDescent="0.45">
      <c r="A77" s="81" t="str">
        <f ca="1">IFERROR(_xludf.xlookup('Pre-Audit Scoping'!$D$17&amp;"|"&amp;TEXT(59,"00"),State_Data!$I:$I,State_Data!$C:$C,""),"")</f>
        <v/>
      </c>
      <c r="B77" s="81" t="str">
        <f ca="1">IFERROR(_xludf.xlookup('Pre-Audit Scoping'!$D$17&amp;"|"&amp;TEXT(59,"00"),State_Data!$I:$I,State_Data!$D:$D,""),"")</f>
        <v/>
      </c>
      <c r="C77" s="81" t="str">
        <f ca="1">IFERROR(_xludf.xlookup('Pre-Audit Scoping'!$D$17&amp;"|"&amp;TEXT(59,"00"),State_Data!$I:$I,State_Data!$E:$E,""),"")</f>
        <v/>
      </c>
      <c r="D77" s="81" t="str">
        <f ca="1">IFERROR(_xludf.xlookup('Pre-Audit Scoping'!$D$17&amp;"|"&amp;TEXT(59,"00"),State_Data!$I:$I,State_Data!$F:$F,""),"")</f>
        <v/>
      </c>
      <c r="E77" s="81" t="s">
        <v>319</v>
      </c>
      <c r="F77" s="81">
        <f t="shared" ca="1" si="2"/>
        <v>0</v>
      </c>
      <c r="G77" s="81">
        <f ca="1">IFERROR(_xludf.xlookup('Pre-Audit Scoping'!$D$17&amp;"|"&amp;TEXT(59,"00"),State_Data!$I:$I,State_Data!$H:$H,0),0)</f>
        <v>0</v>
      </c>
      <c r="H77" s="81"/>
      <c r="I77" s="81"/>
      <c r="J77" s="81" t="str">
        <f ca="1">IFERROR(_xludf.xlookup('Pre-Audit Scoping'!$D$17&amp;"|"&amp;TEXT(59,"00"),State_Data!$I:$I,State_Data!$G:$G,""),"")</f>
        <v/>
      </c>
      <c r="K77" s="81"/>
      <c r="O77">
        <f t="shared" ca="1" si="3"/>
        <v>0</v>
      </c>
    </row>
    <row r="78" spans="1:15" ht="15" customHeight="1" x14ac:dyDescent="0.45">
      <c r="A78" s="82" t="str">
        <f ca="1">IFERROR(_xludf.xlookup('Pre-Audit Scoping'!$D$17&amp;"|"&amp;TEXT(60,"00"),State_Data!$I:$I,State_Data!$C:$C,""),"")</f>
        <v/>
      </c>
      <c r="B78" s="82" t="str">
        <f ca="1">IFERROR(_xludf.xlookup('Pre-Audit Scoping'!$D$17&amp;"|"&amp;TEXT(60,"00"),State_Data!$I:$I,State_Data!$D:$D,""),"")</f>
        <v/>
      </c>
      <c r="C78" s="82" t="str">
        <f ca="1">IFERROR(_xludf.xlookup('Pre-Audit Scoping'!$D$17&amp;"|"&amp;TEXT(60,"00"),State_Data!$I:$I,State_Data!$E:$E,""),"")</f>
        <v/>
      </c>
      <c r="D78" s="82" t="str">
        <f ca="1">IFERROR(_xludf.xlookup('Pre-Audit Scoping'!$D$17&amp;"|"&amp;TEXT(60,"00"),State_Data!$I:$I,State_Data!$F:$F,""),"")</f>
        <v/>
      </c>
      <c r="E78" s="82" t="s">
        <v>319</v>
      </c>
      <c r="F78" s="82">
        <f t="shared" ca="1" si="2"/>
        <v>0</v>
      </c>
      <c r="G78" s="82">
        <f ca="1">IFERROR(_xludf.xlookup('Pre-Audit Scoping'!$D$17&amp;"|"&amp;TEXT(60,"00"),State_Data!$I:$I,State_Data!$H:$H,0),0)</f>
        <v>0</v>
      </c>
      <c r="H78" s="82"/>
      <c r="I78" s="82"/>
      <c r="J78" s="82" t="str">
        <f ca="1">IFERROR(_xludf.xlookup('Pre-Audit Scoping'!$D$17&amp;"|"&amp;TEXT(60,"00"),State_Data!$I:$I,State_Data!$G:$G,""),"")</f>
        <v/>
      </c>
      <c r="K78" s="82"/>
      <c r="O78">
        <f t="shared" ca="1" si="3"/>
        <v>0</v>
      </c>
    </row>
    <row r="79" spans="1:15" ht="15" customHeight="1" x14ac:dyDescent="0.45">
      <c r="A79" s="81" t="str">
        <f ca="1">IFERROR(_xludf.xlookup('Pre-Audit Scoping'!$D$17&amp;"|"&amp;TEXT(61,"00"),State_Data!$I:$I,State_Data!$C:$C,""),"")</f>
        <v/>
      </c>
      <c r="B79" s="81" t="str">
        <f ca="1">IFERROR(_xludf.xlookup('Pre-Audit Scoping'!$D$17&amp;"|"&amp;TEXT(61,"00"),State_Data!$I:$I,State_Data!$D:$D,""),"")</f>
        <v/>
      </c>
      <c r="C79" s="81" t="str">
        <f ca="1">IFERROR(_xludf.xlookup('Pre-Audit Scoping'!$D$17&amp;"|"&amp;TEXT(61,"00"),State_Data!$I:$I,State_Data!$E:$E,""),"")</f>
        <v/>
      </c>
      <c r="D79" s="81" t="str">
        <f ca="1">IFERROR(_xludf.xlookup('Pre-Audit Scoping'!$D$17&amp;"|"&amp;TEXT(61,"00"),State_Data!$I:$I,State_Data!$F:$F,""),"")</f>
        <v/>
      </c>
      <c r="E79" s="81" t="s">
        <v>319</v>
      </c>
      <c r="F79" s="81">
        <f t="shared" ca="1" si="2"/>
        <v>0</v>
      </c>
      <c r="G79" s="81">
        <f ca="1">IFERROR(_xludf.xlookup('Pre-Audit Scoping'!$D$17&amp;"|"&amp;TEXT(61,"00"),State_Data!$I:$I,State_Data!$H:$H,0),0)</f>
        <v>0</v>
      </c>
      <c r="H79" s="81"/>
      <c r="I79" s="81"/>
      <c r="J79" s="81" t="str">
        <f ca="1">IFERROR(_xludf.xlookup('Pre-Audit Scoping'!$D$17&amp;"|"&amp;TEXT(61,"00"),State_Data!$I:$I,State_Data!$G:$G,""),"")</f>
        <v/>
      </c>
      <c r="K79" s="81"/>
      <c r="O79">
        <f t="shared" ca="1" si="3"/>
        <v>0</v>
      </c>
    </row>
    <row r="80" spans="1:15" ht="15" customHeight="1" x14ac:dyDescent="0.45">
      <c r="A80" s="82" t="str">
        <f ca="1">IFERROR(_xludf.xlookup('Pre-Audit Scoping'!$D$17&amp;"|"&amp;TEXT(62,"00"),State_Data!$I:$I,State_Data!$C:$C,""),"")</f>
        <v/>
      </c>
      <c r="B80" s="82" t="str">
        <f ca="1">IFERROR(_xludf.xlookup('Pre-Audit Scoping'!$D$17&amp;"|"&amp;TEXT(62,"00"),State_Data!$I:$I,State_Data!$D:$D,""),"")</f>
        <v/>
      </c>
      <c r="C80" s="82" t="str">
        <f ca="1">IFERROR(_xludf.xlookup('Pre-Audit Scoping'!$D$17&amp;"|"&amp;TEXT(62,"00"),State_Data!$I:$I,State_Data!$E:$E,""),"")</f>
        <v/>
      </c>
      <c r="D80" s="82" t="str">
        <f ca="1">IFERROR(_xludf.xlookup('Pre-Audit Scoping'!$D$17&amp;"|"&amp;TEXT(62,"00"),State_Data!$I:$I,State_Data!$F:$F,""),"")</f>
        <v/>
      </c>
      <c r="E80" s="82" t="s">
        <v>319</v>
      </c>
      <c r="F80" s="82">
        <f t="shared" ca="1" si="2"/>
        <v>0</v>
      </c>
      <c r="G80" s="82">
        <f ca="1">IFERROR(_xludf.xlookup('Pre-Audit Scoping'!$D$17&amp;"|"&amp;TEXT(62,"00"),State_Data!$I:$I,State_Data!$H:$H,0),0)</f>
        <v>0</v>
      </c>
      <c r="H80" s="82"/>
      <c r="I80" s="82"/>
      <c r="J80" s="82" t="str">
        <f ca="1">IFERROR(_xludf.xlookup('Pre-Audit Scoping'!$D$17&amp;"|"&amp;TEXT(62,"00"),State_Data!$I:$I,State_Data!$G:$G,""),"")</f>
        <v/>
      </c>
      <c r="K80" s="82"/>
      <c r="O80">
        <f t="shared" ca="1" si="3"/>
        <v>0</v>
      </c>
    </row>
    <row r="81" spans="1:15" ht="15" customHeight="1" x14ac:dyDescent="0.45">
      <c r="A81" s="81" t="str">
        <f ca="1">IFERROR(_xludf.xlookup('Pre-Audit Scoping'!$D$17&amp;"|"&amp;TEXT(63,"00"),State_Data!$I:$I,State_Data!$C:$C,""),"")</f>
        <v/>
      </c>
      <c r="B81" s="81" t="str">
        <f ca="1">IFERROR(_xludf.xlookup('Pre-Audit Scoping'!$D$17&amp;"|"&amp;TEXT(63,"00"),State_Data!$I:$I,State_Data!$D:$D,""),"")</f>
        <v/>
      </c>
      <c r="C81" s="81" t="str">
        <f ca="1">IFERROR(_xludf.xlookup('Pre-Audit Scoping'!$D$17&amp;"|"&amp;TEXT(63,"00"),State_Data!$I:$I,State_Data!$E:$E,""),"")</f>
        <v/>
      </c>
      <c r="D81" s="81" t="str">
        <f ca="1">IFERROR(_xludf.xlookup('Pre-Audit Scoping'!$D$17&amp;"|"&amp;TEXT(63,"00"),State_Data!$I:$I,State_Data!$F:$F,""),"")</f>
        <v/>
      </c>
      <c r="E81" s="81" t="s">
        <v>319</v>
      </c>
      <c r="F81" s="81">
        <f t="shared" ca="1" si="2"/>
        <v>0</v>
      </c>
      <c r="G81" s="81">
        <f ca="1">IFERROR(_xludf.xlookup('Pre-Audit Scoping'!$D$17&amp;"|"&amp;TEXT(63,"00"),State_Data!$I:$I,State_Data!$H:$H,0),0)</f>
        <v>0</v>
      </c>
      <c r="H81" s="81"/>
      <c r="I81" s="81"/>
      <c r="J81" s="81" t="str">
        <f ca="1">IFERROR(_xludf.xlookup('Pre-Audit Scoping'!$D$17&amp;"|"&amp;TEXT(63,"00"),State_Data!$I:$I,State_Data!$G:$G,""),"")</f>
        <v/>
      </c>
      <c r="K81" s="81"/>
      <c r="O81">
        <f t="shared" ca="1" si="3"/>
        <v>0</v>
      </c>
    </row>
    <row r="82" spans="1:15" ht="15" customHeight="1" x14ac:dyDescent="0.45">
      <c r="A82" s="82" t="str">
        <f ca="1">IFERROR(_xludf.xlookup('Pre-Audit Scoping'!$D$17&amp;"|"&amp;TEXT(64,"00"),State_Data!$I:$I,State_Data!$C:$C,""),"")</f>
        <v/>
      </c>
      <c r="B82" s="82" t="str">
        <f ca="1">IFERROR(_xludf.xlookup('Pre-Audit Scoping'!$D$17&amp;"|"&amp;TEXT(64,"00"),State_Data!$I:$I,State_Data!$D:$D,""),"")</f>
        <v/>
      </c>
      <c r="C82" s="82" t="str">
        <f ca="1">IFERROR(_xludf.xlookup('Pre-Audit Scoping'!$D$17&amp;"|"&amp;TEXT(64,"00"),State_Data!$I:$I,State_Data!$E:$E,""),"")</f>
        <v/>
      </c>
      <c r="D82" s="82" t="str">
        <f ca="1">IFERROR(_xludf.xlookup('Pre-Audit Scoping'!$D$17&amp;"|"&amp;TEXT(64,"00"),State_Data!$I:$I,State_Data!$F:$F,""),"")</f>
        <v/>
      </c>
      <c r="E82" s="82" t="s">
        <v>319</v>
      </c>
      <c r="F82" s="82">
        <f t="shared" ca="1" si="2"/>
        <v>0</v>
      </c>
      <c r="G82" s="82">
        <f ca="1">IFERROR(_xludf.xlookup('Pre-Audit Scoping'!$D$17&amp;"|"&amp;TEXT(64,"00"),State_Data!$I:$I,State_Data!$H:$H,0),0)</f>
        <v>0</v>
      </c>
      <c r="H82" s="82"/>
      <c r="I82" s="82"/>
      <c r="J82" s="82" t="str">
        <f ca="1">IFERROR(_xludf.xlookup('Pre-Audit Scoping'!$D$17&amp;"|"&amp;TEXT(64,"00"),State_Data!$I:$I,State_Data!$G:$G,""),"")</f>
        <v/>
      </c>
      <c r="K82" s="82"/>
      <c r="O82">
        <f t="shared" ca="1" si="3"/>
        <v>0</v>
      </c>
    </row>
    <row r="83" spans="1:15" ht="15" customHeight="1" x14ac:dyDescent="0.45">
      <c r="A83" s="81" t="str">
        <f ca="1">IFERROR(_xludf.xlookup('Pre-Audit Scoping'!$D$17&amp;"|"&amp;TEXT(65,"00"),State_Data!$I:$I,State_Data!$C:$C,""),"")</f>
        <v/>
      </c>
      <c r="B83" s="81" t="str">
        <f ca="1">IFERROR(_xludf.xlookup('Pre-Audit Scoping'!$D$17&amp;"|"&amp;TEXT(65,"00"),State_Data!$I:$I,State_Data!$D:$D,""),"")</f>
        <v/>
      </c>
      <c r="C83" s="81" t="str">
        <f ca="1">IFERROR(_xludf.xlookup('Pre-Audit Scoping'!$D$17&amp;"|"&amp;TEXT(65,"00"),State_Data!$I:$I,State_Data!$E:$E,""),"")</f>
        <v/>
      </c>
      <c r="D83" s="81" t="str">
        <f ca="1">IFERROR(_xludf.xlookup('Pre-Audit Scoping'!$D$17&amp;"|"&amp;TEXT(65,"00"),State_Data!$I:$I,State_Data!$F:$F,""),"")</f>
        <v/>
      </c>
      <c r="E83" s="81" t="s">
        <v>319</v>
      </c>
      <c r="F83" s="81">
        <f t="shared" ref="F83:F114" ca="1" si="4">IFERROR(ROUND(G83*VLOOKUP(E83,$M$2:$N$8,2,FALSE())/100,1),0)</f>
        <v>0</v>
      </c>
      <c r="G83" s="81">
        <f ca="1">IFERROR(_xludf.xlookup('Pre-Audit Scoping'!$D$17&amp;"|"&amp;TEXT(65,"00"),State_Data!$I:$I,State_Data!$H:$H,0),0)</f>
        <v>0</v>
      </c>
      <c r="H83" s="81"/>
      <c r="I83" s="81"/>
      <c r="J83" s="81" t="str">
        <f ca="1">IFERROR(_xludf.xlookup('Pre-Audit Scoping'!$D$17&amp;"|"&amp;TEXT(65,"00"),State_Data!$I:$I,State_Data!$G:$G,""),"")</f>
        <v/>
      </c>
      <c r="K83" s="81"/>
      <c r="O83">
        <f t="shared" ref="O83:O118" ca="1" si="5">IF(E83="Not Applicable",0,G83)</f>
        <v>0</v>
      </c>
    </row>
    <row r="84" spans="1:15" ht="15" customHeight="1" x14ac:dyDescent="0.45">
      <c r="A84" s="82" t="str">
        <f ca="1">IFERROR(_xludf.xlookup('Pre-Audit Scoping'!$D$17&amp;"|"&amp;TEXT(66,"00"),State_Data!$I:$I,State_Data!$C:$C,""),"")</f>
        <v/>
      </c>
      <c r="B84" s="82" t="str">
        <f ca="1">IFERROR(_xludf.xlookup('Pre-Audit Scoping'!$D$17&amp;"|"&amp;TEXT(66,"00"),State_Data!$I:$I,State_Data!$D:$D,""),"")</f>
        <v/>
      </c>
      <c r="C84" s="82" t="str">
        <f ca="1">IFERROR(_xludf.xlookup('Pre-Audit Scoping'!$D$17&amp;"|"&amp;TEXT(66,"00"),State_Data!$I:$I,State_Data!$E:$E,""),"")</f>
        <v/>
      </c>
      <c r="D84" s="82" t="str">
        <f ca="1">IFERROR(_xludf.xlookup('Pre-Audit Scoping'!$D$17&amp;"|"&amp;TEXT(66,"00"),State_Data!$I:$I,State_Data!$F:$F,""),"")</f>
        <v/>
      </c>
      <c r="E84" s="82" t="s">
        <v>319</v>
      </c>
      <c r="F84" s="82">
        <f t="shared" ca="1" si="4"/>
        <v>0</v>
      </c>
      <c r="G84" s="82">
        <f ca="1">IFERROR(_xludf.xlookup('Pre-Audit Scoping'!$D$17&amp;"|"&amp;TEXT(66,"00"),State_Data!$I:$I,State_Data!$H:$H,0),0)</f>
        <v>0</v>
      </c>
      <c r="H84" s="82"/>
      <c r="I84" s="82"/>
      <c r="J84" s="82" t="str">
        <f ca="1">IFERROR(_xludf.xlookup('Pre-Audit Scoping'!$D$17&amp;"|"&amp;TEXT(66,"00"),State_Data!$I:$I,State_Data!$G:$G,""),"")</f>
        <v/>
      </c>
      <c r="K84" s="82"/>
      <c r="O84">
        <f t="shared" ca="1" si="5"/>
        <v>0</v>
      </c>
    </row>
    <row r="85" spans="1:15" ht="15" customHeight="1" x14ac:dyDescent="0.45">
      <c r="A85" s="81" t="str">
        <f ca="1">IFERROR(_xludf.xlookup('Pre-Audit Scoping'!$D$17&amp;"|"&amp;TEXT(67,"00"),State_Data!$I:$I,State_Data!$C:$C,""),"")</f>
        <v/>
      </c>
      <c r="B85" s="81" t="str">
        <f ca="1">IFERROR(_xludf.xlookup('Pre-Audit Scoping'!$D$17&amp;"|"&amp;TEXT(67,"00"),State_Data!$I:$I,State_Data!$D:$D,""),"")</f>
        <v/>
      </c>
      <c r="C85" s="81" t="str">
        <f ca="1">IFERROR(_xludf.xlookup('Pre-Audit Scoping'!$D$17&amp;"|"&amp;TEXT(67,"00"),State_Data!$I:$I,State_Data!$E:$E,""),"")</f>
        <v/>
      </c>
      <c r="D85" s="81" t="str">
        <f ca="1">IFERROR(_xludf.xlookup('Pre-Audit Scoping'!$D$17&amp;"|"&amp;TEXT(67,"00"),State_Data!$I:$I,State_Data!$F:$F,""),"")</f>
        <v/>
      </c>
      <c r="E85" s="81" t="s">
        <v>319</v>
      </c>
      <c r="F85" s="81">
        <f t="shared" ca="1" si="4"/>
        <v>0</v>
      </c>
      <c r="G85" s="81">
        <f ca="1">IFERROR(_xludf.xlookup('Pre-Audit Scoping'!$D$17&amp;"|"&amp;TEXT(67,"00"),State_Data!$I:$I,State_Data!$H:$H,0),0)</f>
        <v>0</v>
      </c>
      <c r="H85" s="81"/>
      <c r="I85" s="81"/>
      <c r="J85" s="81" t="str">
        <f ca="1">IFERROR(_xludf.xlookup('Pre-Audit Scoping'!$D$17&amp;"|"&amp;TEXT(67,"00"),State_Data!$I:$I,State_Data!$G:$G,""),"")</f>
        <v/>
      </c>
      <c r="K85" s="81"/>
      <c r="O85">
        <f t="shared" ca="1" si="5"/>
        <v>0</v>
      </c>
    </row>
    <row r="86" spans="1:15" ht="15" customHeight="1" x14ac:dyDescent="0.45">
      <c r="A86" s="82" t="str">
        <f ca="1">IFERROR(_xludf.xlookup('Pre-Audit Scoping'!$D$17&amp;"|"&amp;TEXT(68,"00"),State_Data!$I:$I,State_Data!$C:$C,""),"")</f>
        <v/>
      </c>
      <c r="B86" s="82" t="str">
        <f ca="1">IFERROR(_xludf.xlookup('Pre-Audit Scoping'!$D$17&amp;"|"&amp;TEXT(68,"00"),State_Data!$I:$I,State_Data!$D:$D,""),"")</f>
        <v/>
      </c>
      <c r="C86" s="82" t="str">
        <f ca="1">IFERROR(_xludf.xlookup('Pre-Audit Scoping'!$D$17&amp;"|"&amp;TEXT(68,"00"),State_Data!$I:$I,State_Data!$E:$E,""),"")</f>
        <v/>
      </c>
      <c r="D86" s="82" t="str">
        <f ca="1">IFERROR(_xludf.xlookup('Pre-Audit Scoping'!$D$17&amp;"|"&amp;TEXT(68,"00"),State_Data!$I:$I,State_Data!$F:$F,""),"")</f>
        <v/>
      </c>
      <c r="E86" s="82" t="s">
        <v>319</v>
      </c>
      <c r="F86" s="82">
        <f t="shared" ca="1" si="4"/>
        <v>0</v>
      </c>
      <c r="G86" s="82">
        <f ca="1">IFERROR(_xludf.xlookup('Pre-Audit Scoping'!$D$17&amp;"|"&amp;TEXT(68,"00"),State_Data!$I:$I,State_Data!$H:$H,0),0)</f>
        <v>0</v>
      </c>
      <c r="H86" s="82"/>
      <c r="I86" s="82"/>
      <c r="J86" s="82" t="str">
        <f ca="1">IFERROR(_xludf.xlookup('Pre-Audit Scoping'!$D$17&amp;"|"&amp;TEXT(68,"00"),State_Data!$I:$I,State_Data!$G:$G,""),"")</f>
        <v/>
      </c>
      <c r="K86" s="82"/>
      <c r="O86">
        <f t="shared" ca="1" si="5"/>
        <v>0</v>
      </c>
    </row>
    <row r="87" spans="1:15" ht="15" customHeight="1" x14ac:dyDescent="0.45">
      <c r="A87" s="81" t="str">
        <f ca="1">IFERROR(_xludf.xlookup('Pre-Audit Scoping'!$D$17&amp;"|"&amp;TEXT(69,"00"),State_Data!$I:$I,State_Data!$C:$C,""),"")</f>
        <v/>
      </c>
      <c r="B87" s="81" t="str">
        <f ca="1">IFERROR(_xludf.xlookup('Pre-Audit Scoping'!$D$17&amp;"|"&amp;TEXT(69,"00"),State_Data!$I:$I,State_Data!$D:$D,""),"")</f>
        <v/>
      </c>
      <c r="C87" s="81" t="str">
        <f ca="1">IFERROR(_xludf.xlookup('Pre-Audit Scoping'!$D$17&amp;"|"&amp;TEXT(69,"00"),State_Data!$I:$I,State_Data!$E:$E,""),"")</f>
        <v/>
      </c>
      <c r="D87" s="81" t="str">
        <f ca="1">IFERROR(_xludf.xlookup('Pre-Audit Scoping'!$D$17&amp;"|"&amp;TEXT(69,"00"),State_Data!$I:$I,State_Data!$F:$F,""),"")</f>
        <v/>
      </c>
      <c r="E87" s="81" t="s">
        <v>319</v>
      </c>
      <c r="F87" s="81">
        <f t="shared" ca="1" si="4"/>
        <v>0</v>
      </c>
      <c r="G87" s="81">
        <f ca="1">IFERROR(_xludf.xlookup('Pre-Audit Scoping'!$D$17&amp;"|"&amp;TEXT(69,"00"),State_Data!$I:$I,State_Data!$H:$H,0),0)</f>
        <v>0</v>
      </c>
      <c r="H87" s="81"/>
      <c r="I87" s="81"/>
      <c r="J87" s="81" t="str">
        <f ca="1">IFERROR(_xludf.xlookup('Pre-Audit Scoping'!$D$17&amp;"|"&amp;TEXT(69,"00"),State_Data!$I:$I,State_Data!$G:$G,""),"")</f>
        <v/>
      </c>
      <c r="K87" s="81"/>
      <c r="O87">
        <f t="shared" ca="1" si="5"/>
        <v>0</v>
      </c>
    </row>
    <row r="88" spans="1:15" ht="15" customHeight="1" x14ac:dyDescent="0.45">
      <c r="A88" s="82" t="str">
        <f ca="1">IFERROR(_xludf.xlookup('Pre-Audit Scoping'!$D$17&amp;"|"&amp;TEXT(70,"00"),State_Data!$I:$I,State_Data!$C:$C,""),"")</f>
        <v/>
      </c>
      <c r="B88" s="82" t="str">
        <f ca="1">IFERROR(_xludf.xlookup('Pre-Audit Scoping'!$D$17&amp;"|"&amp;TEXT(70,"00"),State_Data!$I:$I,State_Data!$D:$D,""),"")</f>
        <v/>
      </c>
      <c r="C88" s="82" t="str">
        <f ca="1">IFERROR(_xludf.xlookup('Pre-Audit Scoping'!$D$17&amp;"|"&amp;TEXT(70,"00"),State_Data!$I:$I,State_Data!$E:$E,""),"")</f>
        <v/>
      </c>
      <c r="D88" s="82" t="str">
        <f ca="1">IFERROR(_xludf.xlookup('Pre-Audit Scoping'!$D$17&amp;"|"&amp;TEXT(70,"00"),State_Data!$I:$I,State_Data!$F:$F,""),"")</f>
        <v/>
      </c>
      <c r="E88" s="82" t="s">
        <v>319</v>
      </c>
      <c r="F88" s="82">
        <f t="shared" ca="1" si="4"/>
        <v>0</v>
      </c>
      <c r="G88" s="82">
        <f ca="1">IFERROR(_xludf.xlookup('Pre-Audit Scoping'!$D$17&amp;"|"&amp;TEXT(70,"00"),State_Data!$I:$I,State_Data!$H:$H,0),0)</f>
        <v>0</v>
      </c>
      <c r="H88" s="82"/>
      <c r="I88" s="82"/>
      <c r="J88" s="82" t="str">
        <f ca="1">IFERROR(_xludf.xlookup('Pre-Audit Scoping'!$D$17&amp;"|"&amp;TEXT(70,"00"),State_Data!$I:$I,State_Data!$G:$G,""),"")</f>
        <v/>
      </c>
      <c r="K88" s="82"/>
      <c r="O88">
        <f t="shared" ca="1" si="5"/>
        <v>0</v>
      </c>
    </row>
    <row r="89" spans="1:15" ht="15" customHeight="1" x14ac:dyDescent="0.45">
      <c r="A89" s="81" t="str">
        <f ca="1">IFERROR(_xludf.xlookup('Pre-Audit Scoping'!$D$17&amp;"|"&amp;TEXT(71,"00"),State_Data!$I:$I,State_Data!$C:$C,""),"")</f>
        <v/>
      </c>
      <c r="B89" s="81" t="str">
        <f ca="1">IFERROR(_xludf.xlookup('Pre-Audit Scoping'!$D$17&amp;"|"&amp;TEXT(71,"00"),State_Data!$I:$I,State_Data!$D:$D,""),"")</f>
        <v/>
      </c>
      <c r="C89" s="81" t="str">
        <f ca="1">IFERROR(_xludf.xlookup('Pre-Audit Scoping'!$D$17&amp;"|"&amp;TEXT(71,"00"),State_Data!$I:$I,State_Data!$E:$E,""),"")</f>
        <v/>
      </c>
      <c r="D89" s="81" t="str">
        <f ca="1">IFERROR(_xludf.xlookup('Pre-Audit Scoping'!$D$17&amp;"|"&amp;TEXT(71,"00"),State_Data!$I:$I,State_Data!$F:$F,""),"")</f>
        <v/>
      </c>
      <c r="E89" s="81" t="s">
        <v>319</v>
      </c>
      <c r="F89" s="81">
        <f t="shared" ca="1" si="4"/>
        <v>0</v>
      </c>
      <c r="G89" s="81">
        <f ca="1">IFERROR(_xludf.xlookup('Pre-Audit Scoping'!$D$17&amp;"|"&amp;TEXT(71,"00"),State_Data!$I:$I,State_Data!$H:$H,0),0)</f>
        <v>0</v>
      </c>
      <c r="H89" s="81"/>
      <c r="I89" s="81"/>
      <c r="J89" s="81" t="str">
        <f ca="1">IFERROR(_xludf.xlookup('Pre-Audit Scoping'!$D$17&amp;"|"&amp;TEXT(71,"00"),State_Data!$I:$I,State_Data!$G:$G,""),"")</f>
        <v/>
      </c>
      <c r="K89" s="81"/>
      <c r="O89">
        <f t="shared" ca="1" si="5"/>
        <v>0</v>
      </c>
    </row>
    <row r="90" spans="1:15" ht="15" customHeight="1" x14ac:dyDescent="0.45">
      <c r="A90" s="82" t="str">
        <f ca="1">IFERROR(_xludf.xlookup('Pre-Audit Scoping'!$D$17&amp;"|"&amp;TEXT(72,"00"),State_Data!$I:$I,State_Data!$C:$C,""),"")</f>
        <v/>
      </c>
      <c r="B90" s="82" t="str">
        <f ca="1">IFERROR(_xludf.xlookup('Pre-Audit Scoping'!$D$17&amp;"|"&amp;TEXT(72,"00"),State_Data!$I:$I,State_Data!$D:$D,""),"")</f>
        <v/>
      </c>
      <c r="C90" s="82" t="str">
        <f ca="1">IFERROR(_xludf.xlookup('Pre-Audit Scoping'!$D$17&amp;"|"&amp;TEXT(72,"00"),State_Data!$I:$I,State_Data!$E:$E,""),"")</f>
        <v/>
      </c>
      <c r="D90" s="82" t="str">
        <f ca="1">IFERROR(_xludf.xlookup('Pre-Audit Scoping'!$D$17&amp;"|"&amp;TEXT(72,"00"),State_Data!$I:$I,State_Data!$F:$F,""),"")</f>
        <v/>
      </c>
      <c r="E90" s="82" t="s">
        <v>319</v>
      </c>
      <c r="F90" s="82">
        <f t="shared" ca="1" si="4"/>
        <v>0</v>
      </c>
      <c r="G90" s="82">
        <f ca="1">IFERROR(_xludf.xlookup('Pre-Audit Scoping'!$D$17&amp;"|"&amp;TEXT(72,"00"),State_Data!$I:$I,State_Data!$H:$H,0),0)</f>
        <v>0</v>
      </c>
      <c r="H90" s="82"/>
      <c r="I90" s="82"/>
      <c r="J90" s="82" t="str">
        <f ca="1">IFERROR(_xludf.xlookup('Pre-Audit Scoping'!$D$17&amp;"|"&amp;TEXT(72,"00"),State_Data!$I:$I,State_Data!$G:$G,""),"")</f>
        <v/>
      </c>
      <c r="K90" s="82"/>
      <c r="O90">
        <f t="shared" ca="1" si="5"/>
        <v>0</v>
      </c>
    </row>
    <row r="91" spans="1:15" ht="15" customHeight="1" x14ac:dyDescent="0.45">
      <c r="A91" s="81" t="str">
        <f ca="1">IFERROR(_xludf.xlookup('Pre-Audit Scoping'!$D$17&amp;"|"&amp;TEXT(73,"00"),State_Data!$I:$I,State_Data!$C:$C,""),"")</f>
        <v/>
      </c>
      <c r="B91" s="81" t="str">
        <f ca="1">IFERROR(_xludf.xlookup('Pre-Audit Scoping'!$D$17&amp;"|"&amp;TEXT(73,"00"),State_Data!$I:$I,State_Data!$D:$D,""),"")</f>
        <v/>
      </c>
      <c r="C91" s="81" t="str">
        <f ca="1">IFERROR(_xludf.xlookup('Pre-Audit Scoping'!$D$17&amp;"|"&amp;TEXT(73,"00"),State_Data!$I:$I,State_Data!$E:$E,""),"")</f>
        <v/>
      </c>
      <c r="D91" s="81" t="str">
        <f ca="1">IFERROR(_xludf.xlookup('Pre-Audit Scoping'!$D$17&amp;"|"&amp;TEXT(73,"00"),State_Data!$I:$I,State_Data!$F:$F,""),"")</f>
        <v/>
      </c>
      <c r="E91" s="81" t="s">
        <v>319</v>
      </c>
      <c r="F91" s="81">
        <f t="shared" ca="1" si="4"/>
        <v>0</v>
      </c>
      <c r="G91" s="81">
        <f ca="1">IFERROR(_xludf.xlookup('Pre-Audit Scoping'!$D$17&amp;"|"&amp;TEXT(73,"00"),State_Data!$I:$I,State_Data!$H:$H,0),0)</f>
        <v>0</v>
      </c>
      <c r="H91" s="81"/>
      <c r="I91" s="81"/>
      <c r="J91" s="81" t="str">
        <f ca="1">IFERROR(_xludf.xlookup('Pre-Audit Scoping'!$D$17&amp;"|"&amp;TEXT(73,"00"),State_Data!$I:$I,State_Data!$G:$G,""),"")</f>
        <v/>
      </c>
      <c r="K91" s="81"/>
      <c r="O91">
        <f t="shared" ca="1" si="5"/>
        <v>0</v>
      </c>
    </row>
    <row r="92" spans="1:15" ht="15" customHeight="1" x14ac:dyDescent="0.45">
      <c r="A92" s="82" t="str">
        <f ca="1">IFERROR(_xludf.xlookup('Pre-Audit Scoping'!$D$17&amp;"|"&amp;TEXT(74,"00"),State_Data!$I:$I,State_Data!$C:$C,""),"")</f>
        <v/>
      </c>
      <c r="B92" s="82" t="str">
        <f ca="1">IFERROR(_xludf.xlookup('Pre-Audit Scoping'!$D$17&amp;"|"&amp;TEXT(74,"00"),State_Data!$I:$I,State_Data!$D:$D,""),"")</f>
        <v/>
      </c>
      <c r="C92" s="82" t="str">
        <f ca="1">IFERROR(_xludf.xlookup('Pre-Audit Scoping'!$D$17&amp;"|"&amp;TEXT(74,"00"),State_Data!$I:$I,State_Data!$E:$E,""),"")</f>
        <v/>
      </c>
      <c r="D92" s="82" t="str">
        <f ca="1">IFERROR(_xludf.xlookup('Pre-Audit Scoping'!$D$17&amp;"|"&amp;TEXT(74,"00"),State_Data!$I:$I,State_Data!$F:$F,""),"")</f>
        <v/>
      </c>
      <c r="E92" s="82" t="s">
        <v>319</v>
      </c>
      <c r="F92" s="82">
        <f t="shared" ca="1" si="4"/>
        <v>0</v>
      </c>
      <c r="G92" s="82">
        <f ca="1">IFERROR(_xludf.xlookup('Pre-Audit Scoping'!$D$17&amp;"|"&amp;TEXT(74,"00"),State_Data!$I:$I,State_Data!$H:$H,0),0)</f>
        <v>0</v>
      </c>
      <c r="H92" s="82"/>
      <c r="I92" s="82"/>
      <c r="J92" s="82" t="str">
        <f ca="1">IFERROR(_xludf.xlookup('Pre-Audit Scoping'!$D$17&amp;"|"&amp;TEXT(74,"00"),State_Data!$I:$I,State_Data!$G:$G,""),"")</f>
        <v/>
      </c>
      <c r="K92" s="82"/>
      <c r="O92">
        <f t="shared" ca="1" si="5"/>
        <v>0</v>
      </c>
    </row>
    <row r="93" spans="1:15" ht="15" customHeight="1" x14ac:dyDescent="0.45">
      <c r="A93" s="81" t="str">
        <f ca="1">IFERROR(_xludf.xlookup('Pre-Audit Scoping'!$D$17&amp;"|"&amp;TEXT(75,"00"),State_Data!$I:$I,State_Data!$C:$C,""),"")</f>
        <v/>
      </c>
      <c r="B93" s="81" t="str">
        <f ca="1">IFERROR(_xludf.xlookup('Pre-Audit Scoping'!$D$17&amp;"|"&amp;TEXT(75,"00"),State_Data!$I:$I,State_Data!$D:$D,""),"")</f>
        <v/>
      </c>
      <c r="C93" s="81" t="str">
        <f ca="1">IFERROR(_xludf.xlookup('Pre-Audit Scoping'!$D$17&amp;"|"&amp;TEXT(75,"00"),State_Data!$I:$I,State_Data!$E:$E,""),"")</f>
        <v/>
      </c>
      <c r="D93" s="81" t="str">
        <f ca="1">IFERROR(_xludf.xlookup('Pre-Audit Scoping'!$D$17&amp;"|"&amp;TEXT(75,"00"),State_Data!$I:$I,State_Data!$F:$F,""),"")</f>
        <v/>
      </c>
      <c r="E93" s="81" t="s">
        <v>319</v>
      </c>
      <c r="F93" s="81">
        <f t="shared" ca="1" si="4"/>
        <v>0</v>
      </c>
      <c r="G93" s="81">
        <f ca="1">IFERROR(_xludf.xlookup('Pre-Audit Scoping'!$D$17&amp;"|"&amp;TEXT(75,"00"),State_Data!$I:$I,State_Data!$H:$H,0),0)</f>
        <v>0</v>
      </c>
      <c r="H93" s="81"/>
      <c r="I93" s="81"/>
      <c r="J93" s="81" t="str">
        <f ca="1">IFERROR(_xludf.xlookup('Pre-Audit Scoping'!$D$17&amp;"|"&amp;TEXT(75,"00"),State_Data!$I:$I,State_Data!$G:$G,""),"")</f>
        <v/>
      </c>
      <c r="K93" s="81"/>
      <c r="O93">
        <f t="shared" ca="1" si="5"/>
        <v>0</v>
      </c>
    </row>
    <row r="94" spans="1:15" ht="15" customHeight="1" x14ac:dyDescent="0.45">
      <c r="A94" s="82" t="str">
        <f ca="1">IFERROR(_xludf.xlookup('Pre-Audit Scoping'!$D$17&amp;"|"&amp;TEXT(76,"00"),State_Data!$I:$I,State_Data!$C:$C,""),"")</f>
        <v/>
      </c>
      <c r="B94" s="82" t="str">
        <f ca="1">IFERROR(_xludf.xlookup('Pre-Audit Scoping'!$D$17&amp;"|"&amp;TEXT(76,"00"),State_Data!$I:$I,State_Data!$D:$D,""),"")</f>
        <v/>
      </c>
      <c r="C94" s="82" t="str">
        <f ca="1">IFERROR(_xludf.xlookup('Pre-Audit Scoping'!$D$17&amp;"|"&amp;TEXT(76,"00"),State_Data!$I:$I,State_Data!$E:$E,""),"")</f>
        <v/>
      </c>
      <c r="D94" s="82" t="str">
        <f ca="1">IFERROR(_xludf.xlookup('Pre-Audit Scoping'!$D$17&amp;"|"&amp;TEXT(76,"00"),State_Data!$I:$I,State_Data!$F:$F,""),"")</f>
        <v/>
      </c>
      <c r="E94" s="82" t="s">
        <v>319</v>
      </c>
      <c r="F94" s="82">
        <f t="shared" ca="1" si="4"/>
        <v>0</v>
      </c>
      <c r="G94" s="82">
        <f ca="1">IFERROR(_xludf.xlookup('Pre-Audit Scoping'!$D$17&amp;"|"&amp;TEXT(76,"00"),State_Data!$I:$I,State_Data!$H:$H,0),0)</f>
        <v>0</v>
      </c>
      <c r="H94" s="82"/>
      <c r="I94" s="82"/>
      <c r="J94" s="82" t="str">
        <f ca="1">IFERROR(_xludf.xlookup('Pre-Audit Scoping'!$D$17&amp;"|"&amp;TEXT(76,"00"),State_Data!$I:$I,State_Data!$G:$G,""),"")</f>
        <v/>
      </c>
      <c r="K94" s="82"/>
      <c r="O94">
        <f t="shared" ca="1" si="5"/>
        <v>0</v>
      </c>
    </row>
    <row r="95" spans="1:15" ht="15" customHeight="1" x14ac:dyDescent="0.45">
      <c r="A95" s="81" t="str">
        <f ca="1">IFERROR(_xludf.xlookup('Pre-Audit Scoping'!$D$17&amp;"|"&amp;TEXT(77,"00"),State_Data!$I:$I,State_Data!$C:$C,""),"")</f>
        <v/>
      </c>
      <c r="B95" s="81" t="str">
        <f ca="1">IFERROR(_xludf.xlookup('Pre-Audit Scoping'!$D$17&amp;"|"&amp;TEXT(77,"00"),State_Data!$I:$I,State_Data!$D:$D,""),"")</f>
        <v/>
      </c>
      <c r="C95" s="81" t="str">
        <f ca="1">IFERROR(_xludf.xlookup('Pre-Audit Scoping'!$D$17&amp;"|"&amp;TEXT(77,"00"),State_Data!$I:$I,State_Data!$E:$E,""),"")</f>
        <v/>
      </c>
      <c r="D95" s="81" t="str">
        <f ca="1">IFERROR(_xludf.xlookup('Pre-Audit Scoping'!$D$17&amp;"|"&amp;TEXT(77,"00"),State_Data!$I:$I,State_Data!$F:$F,""),"")</f>
        <v/>
      </c>
      <c r="E95" s="81" t="s">
        <v>319</v>
      </c>
      <c r="F95" s="81">
        <f t="shared" ca="1" si="4"/>
        <v>0</v>
      </c>
      <c r="G95" s="81">
        <f ca="1">IFERROR(_xludf.xlookup('Pre-Audit Scoping'!$D$17&amp;"|"&amp;TEXT(77,"00"),State_Data!$I:$I,State_Data!$H:$H,0),0)</f>
        <v>0</v>
      </c>
      <c r="H95" s="81"/>
      <c r="I95" s="81"/>
      <c r="J95" s="81" t="str">
        <f ca="1">IFERROR(_xludf.xlookup('Pre-Audit Scoping'!$D$17&amp;"|"&amp;TEXT(77,"00"),State_Data!$I:$I,State_Data!$G:$G,""),"")</f>
        <v/>
      </c>
      <c r="K95" s="81"/>
      <c r="O95">
        <f t="shared" ca="1" si="5"/>
        <v>0</v>
      </c>
    </row>
    <row r="96" spans="1:15" ht="15" customHeight="1" x14ac:dyDescent="0.45">
      <c r="A96" s="82" t="str">
        <f ca="1">IFERROR(_xludf.xlookup('Pre-Audit Scoping'!$D$17&amp;"|"&amp;TEXT(78,"00"),State_Data!$I:$I,State_Data!$C:$C,""),"")</f>
        <v/>
      </c>
      <c r="B96" s="82" t="str">
        <f ca="1">IFERROR(_xludf.xlookup('Pre-Audit Scoping'!$D$17&amp;"|"&amp;TEXT(78,"00"),State_Data!$I:$I,State_Data!$D:$D,""),"")</f>
        <v/>
      </c>
      <c r="C96" s="82" t="str">
        <f ca="1">IFERROR(_xludf.xlookup('Pre-Audit Scoping'!$D$17&amp;"|"&amp;TEXT(78,"00"),State_Data!$I:$I,State_Data!$E:$E,""),"")</f>
        <v/>
      </c>
      <c r="D96" s="82" t="str">
        <f ca="1">IFERROR(_xludf.xlookup('Pre-Audit Scoping'!$D$17&amp;"|"&amp;TEXT(78,"00"),State_Data!$I:$I,State_Data!$F:$F,""),"")</f>
        <v/>
      </c>
      <c r="E96" s="82" t="s">
        <v>319</v>
      </c>
      <c r="F96" s="82">
        <f t="shared" ca="1" si="4"/>
        <v>0</v>
      </c>
      <c r="G96" s="82">
        <f ca="1">IFERROR(_xludf.xlookup('Pre-Audit Scoping'!$D$17&amp;"|"&amp;TEXT(78,"00"),State_Data!$I:$I,State_Data!$H:$H,0),0)</f>
        <v>0</v>
      </c>
      <c r="H96" s="82"/>
      <c r="I96" s="82"/>
      <c r="J96" s="82" t="str">
        <f ca="1">IFERROR(_xludf.xlookup('Pre-Audit Scoping'!$D$17&amp;"|"&amp;TEXT(78,"00"),State_Data!$I:$I,State_Data!$G:$G,""),"")</f>
        <v/>
      </c>
      <c r="K96" s="82"/>
      <c r="O96">
        <f t="shared" ca="1" si="5"/>
        <v>0</v>
      </c>
    </row>
    <row r="97" spans="1:15" ht="15" customHeight="1" x14ac:dyDescent="0.45">
      <c r="A97" s="81" t="str">
        <f ca="1">IFERROR(_xludf.xlookup('Pre-Audit Scoping'!$D$17&amp;"|"&amp;TEXT(79,"00"),State_Data!$I:$I,State_Data!$C:$C,""),"")</f>
        <v/>
      </c>
      <c r="B97" s="81" t="str">
        <f ca="1">IFERROR(_xludf.xlookup('Pre-Audit Scoping'!$D$17&amp;"|"&amp;TEXT(79,"00"),State_Data!$I:$I,State_Data!$D:$D,""),"")</f>
        <v/>
      </c>
      <c r="C97" s="81" t="str">
        <f ca="1">IFERROR(_xludf.xlookup('Pre-Audit Scoping'!$D$17&amp;"|"&amp;TEXT(79,"00"),State_Data!$I:$I,State_Data!$E:$E,""),"")</f>
        <v/>
      </c>
      <c r="D97" s="81" t="str">
        <f ca="1">IFERROR(_xludf.xlookup('Pre-Audit Scoping'!$D$17&amp;"|"&amp;TEXT(79,"00"),State_Data!$I:$I,State_Data!$F:$F,""),"")</f>
        <v/>
      </c>
      <c r="E97" s="81" t="s">
        <v>319</v>
      </c>
      <c r="F97" s="81">
        <f t="shared" ca="1" si="4"/>
        <v>0</v>
      </c>
      <c r="G97" s="81">
        <f ca="1">IFERROR(_xludf.xlookup('Pre-Audit Scoping'!$D$17&amp;"|"&amp;TEXT(79,"00"),State_Data!$I:$I,State_Data!$H:$H,0),0)</f>
        <v>0</v>
      </c>
      <c r="H97" s="81"/>
      <c r="I97" s="81"/>
      <c r="J97" s="81" t="str">
        <f ca="1">IFERROR(_xludf.xlookup('Pre-Audit Scoping'!$D$17&amp;"|"&amp;TEXT(79,"00"),State_Data!$I:$I,State_Data!$G:$G,""),"")</f>
        <v/>
      </c>
      <c r="K97" s="81"/>
      <c r="O97">
        <f t="shared" ca="1" si="5"/>
        <v>0</v>
      </c>
    </row>
    <row r="98" spans="1:15" ht="15" customHeight="1" x14ac:dyDescent="0.45">
      <c r="A98" s="82" t="str">
        <f ca="1">IFERROR(_xludf.xlookup('Pre-Audit Scoping'!$D$17&amp;"|"&amp;TEXT(80,"00"),State_Data!$I:$I,State_Data!$C:$C,""),"")</f>
        <v/>
      </c>
      <c r="B98" s="82" t="str">
        <f ca="1">IFERROR(_xludf.xlookup('Pre-Audit Scoping'!$D$17&amp;"|"&amp;TEXT(80,"00"),State_Data!$I:$I,State_Data!$D:$D,""),"")</f>
        <v/>
      </c>
      <c r="C98" s="82" t="str">
        <f ca="1">IFERROR(_xludf.xlookup('Pre-Audit Scoping'!$D$17&amp;"|"&amp;TEXT(80,"00"),State_Data!$I:$I,State_Data!$E:$E,""),"")</f>
        <v/>
      </c>
      <c r="D98" s="82" t="str">
        <f ca="1">IFERROR(_xludf.xlookup('Pre-Audit Scoping'!$D$17&amp;"|"&amp;TEXT(80,"00"),State_Data!$I:$I,State_Data!$F:$F,""),"")</f>
        <v/>
      </c>
      <c r="E98" s="82" t="s">
        <v>319</v>
      </c>
      <c r="F98" s="82">
        <f t="shared" ca="1" si="4"/>
        <v>0</v>
      </c>
      <c r="G98" s="82">
        <f ca="1">IFERROR(_xludf.xlookup('Pre-Audit Scoping'!$D$17&amp;"|"&amp;TEXT(80,"00"),State_Data!$I:$I,State_Data!$H:$H,0),0)</f>
        <v>0</v>
      </c>
      <c r="H98" s="82"/>
      <c r="I98" s="82"/>
      <c r="J98" s="82" t="str">
        <f ca="1">IFERROR(_xludf.xlookup('Pre-Audit Scoping'!$D$17&amp;"|"&amp;TEXT(80,"00"),State_Data!$I:$I,State_Data!$G:$G,""),"")</f>
        <v/>
      </c>
      <c r="K98" s="82"/>
      <c r="O98">
        <f t="shared" ca="1" si="5"/>
        <v>0</v>
      </c>
    </row>
    <row r="99" spans="1:15" ht="15" customHeight="1" x14ac:dyDescent="0.45">
      <c r="A99" s="81" t="str">
        <f ca="1">IFERROR(_xludf.xlookup('Pre-Audit Scoping'!$D$17&amp;"|"&amp;TEXT(81,"00"),State_Data!$I:$I,State_Data!$C:$C,""),"")</f>
        <v/>
      </c>
      <c r="B99" s="81" t="str">
        <f ca="1">IFERROR(_xludf.xlookup('Pre-Audit Scoping'!$D$17&amp;"|"&amp;TEXT(81,"00"),State_Data!$I:$I,State_Data!$D:$D,""),"")</f>
        <v/>
      </c>
      <c r="C99" s="81" t="str">
        <f ca="1">IFERROR(_xludf.xlookup('Pre-Audit Scoping'!$D$17&amp;"|"&amp;TEXT(81,"00"),State_Data!$I:$I,State_Data!$E:$E,""),"")</f>
        <v/>
      </c>
      <c r="D99" s="81" t="str">
        <f ca="1">IFERROR(_xludf.xlookup('Pre-Audit Scoping'!$D$17&amp;"|"&amp;TEXT(81,"00"),State_Data!$I:$I,State_Data!$F:$F,""),"")</f>
        <v/>
      </c>
      <c r="E99" s="81" t="s">
        <v>319</v>
      </c>
      <c r="F99" s="81">
        <f t="shared" ca="1" si="4"/>
        <v>0</v>
      </c>
      <c r="G99" s="81">
        <f ca="1">IFERROR(_xludf.xlookup('Pre-Audit Scoping'!$D$17&amp;"|"&amp;TEXT(81,"00"),State_Data!$I:$I,State_Data!$H:$H,0),0)</f>
        <v>0</v>
      </c>
      <c r="H99" s="81"/>
      <c r="I99" s="81"/>
      <c r="J99" s="81" t="str">
        <f ca="1">IFERROR(_xludf.xlookup('Pre-Audit Scoping'!$D$17&amp;"|"&amp;TEXT(81,"00"),State_Data!$I:$I,State_Data!$G:$G,""),"")</f>
        <v/>
      </c>
      <c r="K99" s="81"/>
      <c r="O99">
        <f t="shared" ca="1" si="5"/>
        <v>0</v>
      </c>
    </row>
    <row r="100" spans="1:15" ht="15" customHeight="1" x14ac:dyDescent="0.45">
      <c r="A100" s="82" t="str">
        <f ca="1">IFERROR(_xludf.xlookup('Pre-Audit Scoping'!$D$17&amp;"|"&amp;TEXT(82,"00"),State_Data!$I:$I,State_Data!$C:$C,""),"")</f>
        <v/>
      </c>
      <c r="B100" s="82" t="str">
        <f ca="1">IFERROR(_xludf.xlookup('Pre-Audit Scoping'!$D$17&amp;"|"&amp;TEXT(82,"00"),State_Data!$I:$I,State_Data!$D:$D,""),"")</f>
        <v/>
      </c>
      <c r="C100" s="82" t="str">
        <f ca="1">IFERROR(_xludf.xlookup('Pre-Audit Scoping'!$D$17&amp;"|"&amp;TEXT(82,"00"),State_Data!$I:$I,State_Data!$E:$E,""),"")</f>
        <v/>
      </c>
      <c r="D100" s="82" t="str">
        <f ca="1">IFERROR(_xludf.xlookup('Pre-Audit Scoping'!$D$17&amp;"|"&amp;TEXT(82,"00"),State_Data!$I:$I,State_Data!$F:$F,""),"")</f>
        <v/>
      </c>
      <c r="E100" s="82" t="s">
        <v>319</v>
      </c>
      <c r="F100" s="82">
        <f t="shared" ca="1" si="4"/>
        <v>0</v>
      </c>
      <c r="G100" s="82">
        <f ca="1">IFERROR(_xludf.xlookup('Pre-Audit Scoping'!$D$17&amp;"|"&amp;TEXT(82,"00"),State_Data!$I:$I,State_Data!$H:$H,0),0)</f>
        <v>0</v>
      </c>
      <c r="H100" s="82"/>
      <c r="I100" s="82"/>
      <c r="J100" s="82" t="str">
        <f ca="1">IFERROR(_xludf.xlookup('Pre-Audit Scoping'!$D$17&amp;"|"&amp;TEXT(82,"00"),State_Data!$I:$I,State_Data!$G:$G,""),"")</f>
        <v/>
      </c>
      <c r="K100" s="82"/>
      <c r="O100">
        <f t="shared" ca="1" si="5"/>
        <v>0</v>
      </c>
    </row>
    <row r="101" spans="1:15" ht="15" customHeight="1" x14ac:dyDescent="0.45">
      <c r="A101" s="81" t="str">
        <f ca="1">IFERROR(_xludf.xlookup('Pre-Audit Scoping'!$D$17&amp;"|"&amp;TEXT(83,"00"),State_Data!$I:$I,State_Data!$C:$C,""),"")</f>
        <v/>
      </c>
      <c r="B101" s="81" t="str">
        <f ca="1">IFERROR(_xludf.xlookup('Pre-Audit Scoping'!$D$17&amp;"|"&amp;TEXT(83,"00"),State_Data!$I:$I,State_Data!$D:$D,""),"")</f>
        <v/>
      </c>
      <c r="C101" s="81" t="str">
        <f ca="1">IFERROR(_xludf.xlookup('Pre-Audit Scoping'!$D$17&amp;"|"&amp;TEXT(83,"00"),State_Data!$I:$I,State_Data!$E:$E,""),"")</f>
        <v/>
      </c>
      <c r="D101" s="81" t="str">
        <f ca="1">IFERROR(_xludf.xlookup('Pre-Audit Scoping'!$D$17&amp;"|"&amp;TEXT(83,"00"),State_Data!$I:$I,State_Data!$F:$F,""),"")</f>
        <v/>
      </c>
      <c r="E101" s="81" t="s">
        <v>319</v>
      </c>
      <c r="F101" s="81">
        <f t="shared" ca="1" si="4"/>
        <v>0</v>
      </c>
      <c r="G101" s="81">
        <f ca="1">IFERROR(_xludf.xlookup('Pre-Audit Scoping'!$D$17&amp;"|"&amp;TEXT(83,"00"),State_Data!$I:$I,State_Data!$H:$H,0),0)</f>
        <v>0</v>
      </c>
      <c r="H101" s="81"/>
      <c r="I101" s="81"/>
      <c r="J101" s="81" t="str">
        <f ca="1">IFERROR(_xludf.xlookup('Pre-Audit Scoping'!$D$17&amp;"|"&amp;TEXT(83,"00"),State_Data!$I:$I,State_Data!$G:$G,""),"")</f>
        <v/>
      </c>
      <c r="K101" s="81"/>
      <c r="O101">
        <f t="shared" ca="1" si="5"/>
        <v>0</v>
      </c>
    </row>
    <row r="102" spans="1:15" ht="15" customHeight="1" x14ac:dyDescent="0.45">
      <c r="A102" s="82" t="str">
        <f ca="1">IFERROR(_xludf.xlookup('Pre-Audit Scoping'!$D$17&amp;"|"&amp;TEXT(84,"00"),State_Data!$I:$I,State_Data!$C:$C,""),"")</f>
        <v/>
      </c>
      <c r="B102" s="82" t="str">
        <f ca="1">IFERROR(_xludf.xlookup('Pre-Audit Scoping'!$D$17&amp;"|"&amp;TEXT(84,"00"),State_Data!$I:$I,State_Data!$D:$D,""),"")</f>
        <v/>
      </c>
      <c r="C102" s="82" t="str">
        <f ca="1">IFERROR(_xludf.xlookup('Pre-Audit Scoping'!$D$17&amp;"|"&amp;TEXT(84,"00"),State_Data!$I:$I,State_Data!$E:$E,""),"")</f>
        <v/>
      </c>
      <c r="D102" s="82" t="str">
        <f ca="1">IFERROR(_xludf.xlookup('Pre-Audit Scoping'!$D$17&amp;"|"&amp;TEXT(84,"00"),State_Data!$I:$I,State_Data!$F:$F,""),"")</f>
        <v/>
      </c>
      <c r="E102" s="82" t="s">
        <v>319</v>
      </c>
      <c r="F102" s="82">
        <f t="shared" ca="1" si="4"/>
        <v>0</v>
      </c>
      <c r="G102" s="82">
        <f ca="1">IFERROR(_xludf.xlookup('Pre-Audit Scoping'!$D$17&amp;"|"&amp;TEXT(84,"00"),State_Data!$I:$I,State_Data!$H:$H,0),0)</f>
        <v>0</v>
      </c>
      <c r="H102" s="82"/>
      <c r="I102" s="82"/>
      <c r="J102" s="82" t="str">
        <f ca="1">IFERROR(_xludf.xlookup('Pre-Audit Scoping'!$D$17&amp;"|"&amp;TEXT(84,"00"),State_Data!$I:$I,State_Data!$G:$G,""),"")</f>
        <v/>
      </c>
      <c r="K102" s="82"/>
      <c r="O102">
        <f t="shared" ca="1" si="5"/>
        <v>0</v>
      </c>
    </row>
    <row r="103" spans="1:15" ht="15" customHeight="1" x14ac:dyDescent="0.45">
      <c r="A103" s="81" t="str">
        <f ca="1">IFERROR(_xludf.xlookup('Pre-Audit Scoping'!$D$17&amp;"|"&amp;TEXT(85,"00"),State_Data!$I:$I,State_Data!$C:$C,""),"")</f>
        <v/>
      </c>
      <c r="B103" s="81" t="str">
        <f ca="1">IFERROR(_xludf.xlookup('Pre-Audit Scoping'!$D$17&amp;"|"&amp;TEXT(85,"00"),State_Data!$I:$I,State_Data!$D:$D,""),"")</f>
        <v/>
      </c>
      <c r="C103" s="81" t="str">
        <f ca="1">IFERROR(_xludf.xlookup('Pre-Audit Scoping'!$D$17&amp;"|"&amp;TEXT(85,"00"),State_Data!$I:$I,State_Data!$E:$E,""),"")</f>
        <v/>
      </c>
      <c r="D103" s="81" t="str">
        <f ca="1">IFERROR(_xludf.xlookup('Pre-Audit Scoping'!$D$17&amp;"|"&amp;TEXT(85,"00"),State_Data!$I:$I,State_Data!$F:$F,""),"")</f>
        <v/>
      </c>
      <c r="E103" s="81" t="s">
        <v>319</v>
      </c>
      <c r="F103" s="81">
        <f t="shared" ca="1" si="4"/>
        <v>0</v>
      </c>
      <c r="G103" s="81">
        <f ca="1">IFERROR(_xludf.xlookup('Pre-Audit Scoping'!$D$17&amp;"|"&amp;TEXT(85,"00"),State_Data!$I:$I,State_Data!$H:$H,0),0)</f>
        <v>0</v>
      </c>
      <c r="H103" s="81"/>
      <c r="I103" s="81"/>
      <c r="J103" s="81" t="str">
        <f ca="1">IFERROR(_xludf.xlookup('Pre-Audit Scoping'!$D$17&amp;"|"&amp;TEXT(85,"00"),State_Data!$I:$I,State_Data!$G:$G,""),"")</f>
        <v/>
      </c>
      <c r="K103" s="81"/>
      <c r="O103">
        <f t="shared" ca="1" si="5"/>
        <v>0</v>
      </c>
    </row>
    <row r="104" spans="1:15" ht="15" customHeight="1" x14ac:dyDescent="0.45">
      <c r="A104" s="82" t="str">
        <f ca="1">IFERROR(_xludf.xlookup('Pre-Audit Scoping'!$D$17&amp;"|"&amp;TEXT(86,"00"),State_Data!$I:$I,State_Data!$C:$C,""),"")</f>
        <v/>
      </c>
      <c r="B104" s="82" t="str">
        <f ca="1">IFERROR(_xludf.xlookup('Pre-Audit Scoping'!$D$17&amp;"|"&amp;TEXT(86,"00"),State_Data!$I:$I,State_Data!$D:$D,""),"")</f>
        <v/>
      </c>
      <c r="C104" s="82" t="str">
        <f ca="1">IFERROR(_xludf.xlookup('Pre-Audit Scoping'!$D$17&amp;"|"&amp;TEXT(86,"00"),State_Data!$I:$I,State_Data!$E:$E,""),"")</f>
        <v/>
      </c>
      <c r="D104" s="82" t="str">
        <f ca="1">IFERROR(_xludf.xlookup('Pre-Audit Scoping'!$D$17&amp;"|"&amp;TEXT(86,"00"),State_Data!$I:$I,State_Data!$F:$F,""),"")</f>
        <v/>
      </c>
      <c r="E104" s="82" t="s">
        <v>319</v>
      </c>
      <c r="F104" s="82">
        <f t="shared" ca="1" si="4"/>
        <v>0</v>
      </c>
      <c r="G104" s="82">
        <f ca="1">IFERROR(_xludf.xlookup('Pre-Audit Scoping'!$D$17&amp;"|"&amp;TEXT(86,"00"),State_Data!$I:$I,State_Data!$H:$H,0),0)</f>
        <v>0</v>
      </c>
      <c r="H104" s="82"/>
      <c r="I104" s="82"/>
      <c r="J104" s="82" t="str">
        <f ca="1">IFERROR(_xludf.xlookup('Pre-Audit Scoping'!$D$17&amp;"|"&amp;TEXT(86,"00"),State_Data!$I:$I,State_Data!$G:$G,""),"")</f>
        <v/>
      </c>
      <c r="K104" s="82"/>
      <c r="O104">
        <f t="shared" ca="1" si="5"/>
        <v>0</v>
      </c>
    </row>
    <row r="105" spans="1:15" ht="15" customHeight="1" x14ac:dyDescent="0.45">
      <c r="A105" s="81" t="str">
        <f ca="1">IFERROR(_xludf.xlookup('Pre-Audit Scoping'!$D$17&amp;"|"&amp;TEXT(87,"00"),State_Data!$I:$I,State_Data!$C:$C,""),"")</f>
        <v/>
      </c>
      <c r="B105" s="81" t="str">
        <f ca="1">IFERROR(_xludf.xlookup('Pre-Audit Scoping'!$D$17&amp;"|"&amp;TEXT(87,"00"),State_Data!$I:$I,State_Data!$D:$D,""),"")</f>
        <v/>
      </c>
      <c r="C105" s="81" t="str">
        <f ca="1">IFERROR(_xludf.xlookup('Pre-Audit Scoping'!$D$17&amp;"|"&amp;TEXT(87,"00"),State_Data!$I:$I,State_Data!$E:$E,""),"")</f>
        <v/>
      </c>
      <c r="D105" s="81" t="str">
        <f ca="1">IFERROR(_xludf.xlookup('Pre-Audit Scoping'!$D$17&amp;"|"&amp;TEXT(87,"00"),State_Data!$I:$I,State_Data!$F:$F,""),"")</f>
        <v/>
      </c>
      <c r="E105" s="81" t="s">
        <v>319</v>
      </c>
      <c r="F105" s="81">
        <f t="shared" ca="1" si="4"/>
        <v>0</v>
      </c>
      <c r="G105" s="81">
        <f ca="1">IFERROR(_xludf.xlookup('Pre-Audit Scoping'!$D$17&amp;"|"&amp;TEXT(87,"00"),State_Data!$I:$I,State_Data!$H:$H,0),0)</f>
        <v>0</v>
      </c>
      <c r="H105" s="81"/>
      <c r="I105" s="81"/>
      <c r="J105" s="81" t="str">
        <f ca="1">IFERROR(_xludf.xlookup('Pre-Audit Scoping'!$D$17&amp;"|"&amp;TEXT(87,"00"),State_Data!$I:$I,State_Data!$G:$G,""),"")</f>
        <v/>
      </c>
      <c r="K105" s="81"/>
      <c r="O105">
        <f t="shared" ca="1" si="5"/>
        <v>0</v>
      </c>
    </row>
    <row r="106" spans="1:15" ht="15" customHeight="1" x14ac:dyDescent="0.45">
      <c r="A106" s="82" t="str">
        <f ca="1">IFERROR(_xludf.xlookup('Pre-Audit Scoping'!$D$17&amp;"|"&amp;TEXT(88,"00"),State_Data!$I:$I,State_Data!$C:$C,""),"")</f>
        <v/>
      </c>
      <c r="B106" s="82" t="str">
        <f ca="1">IFERROR(_xludf.xlookup('Pre-Audit Scoping'!$D$17&amp;"|"&amp;TEXT(88,"00"),State_Data!$I:$I,State_Data!$D:$D,""),"")</f>
        <v/>
      </c>
      <c r="C106" s="82" t="str">
        <f ca="1">IFERROR(_xludf.xlookup('Pre-Audit Scoping'!$D$17&amp;"|"&amp;TEXT(88,"00"),State_Data!$I:$I,State_Data!$E:$E,""),"")</f>
        <v/>
      </c>
      <c r="D106" s="82" t="str">
        <f ca="1">IFERROR(_xludf.xlookup('Pre-Audit Scoping'!$D$17&amp;"|"&amp;TEXT(88,"00"),State_Data!$I:$I,State_Data!$F:$F,""),"")</f>
        <v/>
      </c>
      <c r="E106" s="82" t="s">
        <v>319</v>
      </c>
      <c r="F106" s="82">
        <f t="shared" ca="1" si="4"/>
        <v>0</v>
      </c>
      <c r="G106" s="82">
        <f ca="1">IFERROR(_xludf.xlookup('Pre-Audit Scoping'!$D$17&amp;"|"&amp;TEXT(88,"00"),State_Data!$I:$I,State_Data!$H:$H,0),0)</f>
        <v>0</v>
      </c>
      <c r="H106" s="82"/>
      <c r="I106" s="82"/>
      <c r="J106" s="82" t="str">
        <f ca="1">IFERROR(_xludf.xlookup('Pre-Audit Scoping'!$D$17&amp;"|"&amp;TEXT(88,"00"),State_Data!$I:$I,State_Data!$G:$G,""),"")</f>
        <v/>
      </c>
      <c r="K106" s="82"/>
      <c r="O106">
        <f t="shared" ca="1" si="5"/>
        <v>0</v>
      </c>
    </row>
    <row r="107" spans="1:15" ht="15" customHeight="1" x14ac:dyDescent="0.45">
      <c r="A107" s="81" t="str">
        <f ca="1">IFERROR(_xludf.xlookup('Pre-Audit Scoping'!$D$17&amp;"|"&amp;TEXT(89,"00"),State_Data!$I:$I,State_Data!$C:$C,""),"")</f>
        <v/>
      </c>
      <c r="B107" s="81" t="str">
        <f ca="1">IFERROR(_xludf.xlookup('Pre-Audit Scoping'!$D$17&amp;"|"&amp;TEXT(89,"00"),State_Data!$I:$I,State_Data!$D:$D,""),"")</f>
        <v/>
      </c>
      <c r="C107" s="81" t="str">
        <f ca="1">IFERROR(_xludf.xlookup('Pre-Audit Scoping'!$D$17&amp;"|"&amp;TEXT(89,"00"),State_Data!$I:$I,State_Data!$E:$E,""),"")</f>
        <v/>
      </c>
      <c r="D107" s="81" t="str">
        <f ca="1">IFERROR(_xludf.xlookup('Pre-Audit Scoping'!$D$17&amp;"|"&amp;TEXT(89,"00"),State_Data!$I:$I,State_Data!$F:$F,""),"")</f>
        <v/>
      </c>
      <c r="E107" s="81" t="s">
        <v>319</v>
      </c>
      <c r="F107" s="81">
        <f t="shared" ca="1" si="4"/>
        <v>0</v>
      </c>
      <c r="G107" s="81">
        <f ca="1">IFERROR(_xludf.xlookup('Pre-Audit Scoping'!$D$17&amp;"|"&amp;TEXT(89,"00"),State_Data!$I:$I,State_Data!$H:$H,0),0)</f>
        <v>0</v>
      </c>
      <c r="H107" s="81"/>
      <c r="I107" s="81"/>
      <c r="J107" s="81" t="str">
        <f ca="1">IFERROR(_xludf.xlookup('Pre-Audit Scoping'!$D$17&amp;"|"&amp;TEXT(89,"00"),State_Data!$I:$I,State_Data!$G:$G,""),"")</f>
        <v/>
      </c>
      <c r="K107" s="81"/>
      <c r="O107">
        <f t="shared" ca="1" si="5"/>
        <v>0</v>
      </c>
    </row>
    <row r="108" spans="1:15" ht="15" customHeight="1" x14ac:dyDescent="0.45">
      <c r="A108" s="82" t="str">
        <f ca="1">IFERROR(_xludf.xlookup('Pre-Audit Scoping'!$D$17&amp;"|"&amp;TEXT(90,"00"),State_Data!$I:$I,State_Data!$C:$C,""),"")</f>
        <v/>
      </c>
      <c r="B108" s="82" t="str">
        <f ca="1">IFERROR(_xludf.xlookup('Pre-Audit Scoping'!$D$17&amp;"|"&amp;TEXT(90,"00"),State_Data!$I:$I,State_Data!$D:$D,""),"")</f>
        <v/>
      </c>
      <c r="C108" s="82" t="str">
        <f ca="1">IFERROR(_xludf.xlookup('Pre-Audit Scoping'!$D$17&amp;"|"&amp;TEXT(90,"00"),State_Data!$I:$I,State_Data!$E:$E,""),"")</f>
        <v/>
      </c>
      <c r="D108" s="82" t="str">
        <f ca="1">IFERROR(_xludf.xlookup('Pre-Audit Scoping'!$D$17&amp;"|"&amp;TEXT(90,"00"),State_Data!$I:$I,State_Data!$F:$F,""),"")</f>
        <v/>
      </c>
      <c r="E108" s="82" t="s">
        <v>319</v>
      </c>
      <c r="F108" s="82">
        <f t="shared" ca="1" si="4"/>
        <v>0</v>
      </c>
      <c r="G108" s="82">
        <f ca="1">IFERROR(_xludf.xlookup('Pre-Audit Scoping'!$D$17&amp;"|"&amp;TEXT(90,"00"),State_Data!$I:$I,State_Data!$H:$H,0),0)</f>
        <v>0</v>
      </c>
      <c r="H108" s="82"/>
      <c r="I108" s="82"/>
      <c r="J108" s="82" t="str">
        <f ca="1">IFERROR(_xludf.xlookup('Pre-Audit Scoping'!$D$17&amp;"|"&amp;TEXT(90,"00"),State_Data!$I:$I,State_Data!$G:$G,""),"")</f>
        <v/>
      </c>
      <c r="K108" s="82"/>
      <c r="O108">
        <f t="shared" ca="1" si="5"/>
        <v>0</v>
      </c>
    </row>
    <row r="109" spans="1:15" ht="15" customHeight="1" x14ac:dyDescent="0.45">
      <c r="A109" s="81" t="str">
        <f ca="1">IFERROR(_xludf.xlookup('Pre-Audit Scoping'!$D$17&amp;"|"&amp;TEXT(91,"00"),State_Data!$I:$I,State_Data!$C:$C,""),"")</f>
        <v/>
      </c>
      <c r="B109" s="81" t="str">
        <f ca="1">IFERROR(_xludf.xlookup('Pre-Audit Scoping'!$D$17&amp;"|"&amp;TEXT(91,"00"),State_Data!$I:$I,State_Data!$D:$D,""),"")</f>
        <v/>
      </c>
      <c r="C109" s="81" t="str">
        <f ca="1">IFERROR(_xludf.xlookup('Pre-Audit Scoping'!$D$17&amp;"|"&amp;TEXT(91,"00"),State_Data!$I:$I,State_Data!$E:$E,""),"")</f>
        <v/>
      </c>
      <c r="D109" s="81" t="str">
        <f ca="1">IFERROR(_xludf.xlookup('Pre-Audit Scoping'!$D$17&amp;"|"&amp;TEXT(91,"00"),State_Data!$I:$I,State_Data!$F:$F,""),"")</f>
        <v/>
      </c>
      <c r="E109" s="81" t="s">
        <v>319</v>
      </c>
      <c r="F109" s="81">
        <f t="shared" ca="1" si="4"/>
        <v>0</v>
      </c>
      <c r="G109" s="81">
        <f ca="1">IFERROR(_xludf.xlookup('Pre-Audit Scoping'!$D$17&amp;"|"&amp;TEXT(91,"00"),State_Data!$I:$I,State_Data!$H:$H,0),0)</f>
        <v>0</v>
      </c>
      <c r="H109" s="81"/>
      <c r="I109" s="81"/>
      <c r="J109" s="81" t="str">
        <f ca="1">IFERROR(_xludf.xlookup('Pre-Audit Scoping'!$D$17&amp;"|"&amp;TEXT(91,"00"),State_Data!$I:$I,State_Data!$G:$G,""),"")</f>
        <v/>
      </c>
      <c r="K109" s="81"/>
      <c r="O109">
        <f t="shared" ca="1" si="5"/>
        <v>0</v>
      </c>
    </row>
    <row r="110" spans="1:15" ht="15" customHeight="1" x14ac:dyDescent="0.45">
      <c r="A110" s="82" t="str">
        <f ca="1">IFERROR(_xludf.xlookup('Pre-Audit Scoping'!$D$17&amp;"|"&amp;TEXT(92,"00"),State_Data!$I:$I,State_Data!$C:$C,""),"")</f>
        <v/>
      </c>
      <c r="B110" s="82" t="str">
        <f ca="1">IFERROR(_xludf.xlookup('Pre-Audit Scoping'!$D$17&amp;"|"&amp;TEXT(92,"00"),State_Data!$I:$I,State_Data!$D:$D,""),"")</f>
        <v/>
      </c>
      <c r="C110" s="82" t="str">
        <f ca="1">IFERROR(_xludf.xlookup('Pre-Audit Scoping'!$D$17&amp;"|"&amp;TEXT(92,"00"),State_Data!$I:$I,State_Data!$E:$E,""),"")</f>
        <v/>
      </c>
      <c r="D110" s="82" t="str">
        <f ca="1">IFERROR(_xludf.xlookup('Pre-Audit Scoping'!$D$17&amp;"|"&amp;TEXT(92,"00"),State_Data!$I:$I,State_Data!$F:$F,""),"")</f>
        <v/>
      </c>
      <c r="E110" s="82" t="s">
        <v>319</v>
      </c>
      <c r="F110" s="82">
        <f t="shared" ca="1" si="4"/>
        <v>0</v>
      </c>
      <c r="G110" s="82">
        <f ca="1">IFERROR(_xludf.xlookup('Pre-Audit Scoping'!$D$17&amp;"|"&amp;TEXT(92,"00"),State_Data!$I:$I,State_Data!$H:$H,0),0)</f>
        <v>0</v>
      </c>
      <c r="H110" s="82"/>
      <c r="I110" s="82"/>
      <c r="J110" s="82" t="str">
        <f ca="1">IFERROR(_xludf.xlookup('Pre-Audit Scoping'!$D$17&amp;"|"&amp;TEXT(92,"00"),State_Data!$I:$I,State_Data!$G:$G,""),"")</f>
        <v/>
      </c>
      <c r="K110" s="82"/>
      <c r="O110">
        <f t="shared" ca="1" si="5"/>
        <v>0</v>
      </c>
    </row>
    <row r="111" spans="1:15" ht="15" customHeight="1" x14ac:dyDescent="0.45">
      <c r="A111" s="81" t="str">
        <f ca="1">IFERROR(_xludf.xlookup('Pre-Audit Scoping'!$D$17&amp;"|"&amp;TEXT(93,"00"),State_Data!$I:$I,State_Data!$C:$C,""),"")</f>
        <v/>
      </c>
      <c r="B111" s="81" t="str">
        <f ca="1">IFERROR(_xludf.xlookup('Pre-Audit Scoping'!$D$17&amp;"|"&amp;TEXT(93,"00"),State_Data!$I:$I,State_Data!$D:$D,""),"")</f>
        <v/>
      </c>
      <c r="C111" s="81" t="str">
        <f ca="1">IFERROR(_xludf.xlookup('Pre-Audit Scoping'!$D$17&amp;"|"&amp;TEXT(93,"00"),State_Data!$I:$I,State_Data!$E:$E,""),"")</f>
        <v/>
      </c>
      <c r="D111" s="81" t="str">
        <f ca="1">IFERROR(_xludf.xlookup('Pre-Audit Scoping'!$D$17&amp;"|"&amp;TEXT(93,"00"),State_Data!$I:$I,State_Data!$F:$F,""),"")</f>
        <v/>
      </c>
      <c r="E111" s="81" t="s">
        <v>319</v>
      </c>
      <c r="F111" s="81">
        <f t="shared" ca="1" si="4"/>
        <v>0</v>
      </c>
      <c r="G111" s="81">
        <f ca="1">IFERROR(_xludf.xlookup('Pre-Audit Scoping'!$D$17&amp;"|"&amp;TEXT(93,"00"),State_Data!$I:$I,State_Data!$H:$H,0),0)</f>
        <v>0</v>
      </c>
      <c r="H111" s="81"/>
      <c r="I111" s="81"/>
      <c r="J111" s="81" t="str">
        <f ca="1">IFERROR(_xludf.xlookup('Pre-Audit Scoping'!$D$17&amp;"|"&amp;TEXT(93,"00"),State_Data!$I:$I,State_Data!$G:$G,""),"")</f>
        <v/>
      </c>
      <c r="K111" s="81"/>
      <c r="O111">
        <f t="shared" ca="1" si="5"/>
        <v>0</v>
      </c>
    </row>
    <row r="112" spans="1:15" ht="15" customHeight="1" x14ac:dyDescent="0.45">
      <c r="A112" s="82" t="str">
        <f ca="1">IFERROR(_xludf.xlookup('Pre-Audit Scoping'!$D$17&amp;"|"&amp;TEXT(94,"00"),State_Data!$I:$I,State_Data!$C:$C,""),"")</f>
        <v/>
      </c>
      <c r="B112" s="82" t="str">
        <f ca="1">IFERROR(_xludf.xlookup('Pre-Audit Scoping'!$D$17&amp;"|"&amp;TEXT(94,"00"),State_Data!$I:$I,State_Data!$D:$D,""),"")</f>
        <v/>
      </c>
      <c r="C112" s="82" t="str">
        <f ca="1">IFERROR(_xludf.xlookup('Pre-Audit Scoping'!$D$17&amp;"|"&amp;TEXT(94,"00"),State_Data!$I:$I,State_Data!$E:$E,""),"")</f>
        <v/>
      </c>
      <c r="D112" s="82" t="str">
        <f ca="1">IFERROR(_xludf.xlookup('Pre-Audit Scoping'!$D$17&amp;"|"&amp;TEXT(94,"00"),State_Data!$I:$I,State_Data!$F:$F,""),"")</f>
        <v/>
      </c>
      <c r="E112" s="82" t="s">
        <v>319</v>
      </c>
      <c r="F112" s="82">
        <f t="shared" ca="1" si="4"/>
        <v>0</v>
      </c>
      <c r="G112" s="82">
        <f ca="1">IFERROR(_xludf.xlookup('Pre-Audit Scoping'!$D$17&amp;"|"&amp;TEXT(94,"00"),State_Data!$I:$I,State_Data!$H:$H,0),0)</f>
        <v>0</v>
      </c>
      <c r="H112" s="82"/>
      <c r="I112" s="82"/>
      <c r="J112" s="82" t="str">
        <f ca="1">IFERROR(_xludf.xlookup('Pre-Audit Scoping'!$D$17&amp;"|"&amp;TEXT(94,"00"),State_Data!$I:$I,State_Data!$G:$G,""),"")</f>
        <v/>
      </c>
      <c r="K112" s="82"/>
      <c r="O112">
        <f t="shared" ca="1" si="5"/>
        <v>0</v>
      </c>
    </row>
    <row r="113" spans="1:15" ht="15" customHeight="1" x14ac:dyDescent="0.45">
      <c r="A113" s="81" t="str">
        <f ca="1">IFERROR(_xludf.xlookup('Pre-Audit Scoping'!$D$17&amp;"|"&amp;TEXT(95,"00"),State_Data!$I:$I,State_Data!$C:$C,""),"")</f>
        <v/>
      </c>
      <c r="B113" s="81" t="str">
        <f ca="1">IFERROR(_xludf.xlookup('Pre-Audit Scoping'!$D$17&amp;"|"&amp;TEXT(95,"00"),State_Data!$I:$I,State_Data!$D:$D,""),"")</f>
        <v/>
      </c>
      <c r="C113" s="81" t="str">
        <f ca="1">IFERROR(_xludf.xlookup('Pre-Audit Scoping'!$D$17&amp;"|"&amp;TEXT(95,"00"),State_Data!$I:$I,State_Data!$E:$E,""),"")</f>
        <v/>
      </c>
      <c r="D113" s="81" t="str">
        <f ca="1">IFERROR(_xludf.xlookup('Pre-Audit Scoping'!$D$17&amp;"|"&amp;TEXT(95,"00"),State_Data!$I:$I,State_Data!$F:$F,""),"")</f>
        <v/>
      </c>
      <c r="E113" s="81" t="s">
        <v>319</v>
      </c>
      <c r="F113" s="81">
        <f t="shared" ca="1" si="4"/>
        <v>0</v>
      </c>
      <c r="G113" s="81">
        <f ca="1">IFERROR(_xludf.xlookup('Pre-Audit Scoping'!$D$17&amp;"|"&amp;TEXT(95,"00"),State_Data!$I:$I,State_Data!$H:$H,0),0)</f>
        <v>0</v>
      </c>
      <c r="H113" s="81"/>
      <c r="I113" s="81"/>
      <c r="J113" s="81" t="str">
        <f ca="1">IFERROR(_xludf.xlookup('Pre-Audit Scoping'!$D$17&amp;"|"&amp;TEXT(95,"00"),State_Data!$I:$I,State_Data!$G:$G,""),"")</f>
        <v/>
      </c>
      <c r="K113" s="81"/>
      <c r="O113">
        <f t="shared" ca="1" si="5"/>
        <v>0</v>
      </c>
    </row>
    <row r="114" spans="1:15" ht="15" customHeight="1" x14ac:dyDescent="0.45">
      <c r="A114" s="82" t="str">
        <f ca="1">IFERROR(_xludf.xlookup('Pre-Audit Scoping'!$D$17&amp;"|"&amp;TEXT(96,"00"),State_Data!$I:$I,State_Data!$C:$C,""),"")</f>
        <v/>
      </c>
      <c r="B114" s="82" t="str">
        <f ca="1">IFERROR(_xludf.xlookup('Pre-Audit Scoping'!$D$17&amp;"|"&amp;TEXT(96,"00"),State_Data!$I:$I,State_Data!$D:$D,""),"")</f>
        <v/>
      </c>
      <c r="C114" s="82" t="str">
        <f ca="1">IFERROR(_xludf.xlookup('Pre-Audit Scoping'!$D$17&amp;"|"&amp;TEXT(96,"00"),State_Data!$I:$I,State_Data!$E:$E,""),"")</f>
        <v/>
      </c>
      <c r="D114" s="82" t="str">
        <f ca="1">IFERROR(_xludf.xlookup('Pre-Audit Scoping'!$D$17&amp;"|"&amp;TEXT(96,"00"),State_Data!$I:$I,State_Data!$F:$F,""),"")</f>
        <v/>
      </c>
      <c r="E114" s="82" t="s">
        <v>319</v>
      </c>
      <c r="F114" s="82">
        <f t="shared" ca="1" si="4"/>
        <v>0</v>
      </c>
      <c r="G114" s="82">
        <f ca="1">IFERROR(_xludf.xlookup('Pre-Audit Scoping'!$D$17&amp;"|"&amp;TEXT(96,"00"),State_Data!$I:$I,State_Data!$H:$H,0),0)</f>
        <v>0</v>
      </c>
      <c r="H114" s="82"/>
      <c r="I114" s="82"/>
      <c r="J114" s="82" t="str">
        <f ca="1">IFERROR(_xludf.xlookup('Pre-Audit Scoping'!$D$17&amp;"|"&amp;TEXT(96,"00"),State_Data!$I:$I,State_Data!$G:$G,""),"")</f>
        <v/>
      </c>
      <c r="K114" s="82"/>
      <c r="O114">
        <f t="shared" ca="1" si="5"/>
        <v>0</v>
      </c>
    </row>
    <row r="115" spans="1:15" ht="15" customHeight="1" x14ac:dyDescent="0.45">
      <c r="A115" s="81" t="str">
        <f ca="1">IFERROR(_xludf.xlookup('Pre-Audit Scoping'!$D$17&amp;"|"&amp;TEXT(97,"00"),State_Data!$I:$I,State_Data!$C:$C,""),"")</f>
        <v/>
      </c>
      <c r="B115" s="81" t="str">
        <f ca="1">IFERROR(_xludf.xlookup('Pre-Audit Scoping'!$D$17&amp;"|"&amp;TEXT(97,"00"),State_Data!$I:$I,State_Data!$D:$D,""),"")</f>
        <v/>
      </c>
      <c r="C115" s="81" t="str">
        <f ca="1">IFERROR(_xludf.xlookup('Pre-Audit Scoping'!$D$17&amp;"|"&amp;TEXT(97,"00"),State_Data!$I:$I,State_Data!$E:$E,""),"")</f>
        <v/>
      </c>
      <c r="D115" s="81" t="str">
        <f ca="1">IFERROR(_xludf.xlookup('Pre-Audit Scoping'!$D$17&amp;"|"&amp;TEXT(97,"00"),State_Data!$I:$I,State_Data!$F:$F,""),"")</f>
        <v/>
      </c>
      <c r="E115" s="81" t="s">
        <v>319</v>
      </c>
      <c r="F115" s="81">
        <f t="shared" ref="F115:F146" ca="1" si="6">IFERROR(ROUND(G115*VLOOKUP(E115,$M$2:$N$8,2,FALSE())/100,1),0)</f>
        <v>0</v>
      </c>
      <c r="G115" s="81">
        <f ca="1">IFERROR(_xludf.xlookup('Pre-Audit Scoping'!$D$17&amp;"|"&amp;TEXT(97,"00"),State_Data!$I:$I,State_Data!$H:$H,0),0)</f>
        <v>0</v>
      </c>
      <c r="H115" s="81"/>
      <c r="I115" s="81"/>
      <c r="J115" s="81" t="str">
        <f ca="1">IFERROR(_xludf.xlookup('Pre-Audit Scoping'!$D$17&amp;"|"&amp;TEXT(97,"00"),State_Data!$I:$I,State_Data!$G:$G,""),"")</f>
        <v/>
      </c>
      <c r="K115" s="81"/>
      <c r="O115">
        <f t="shared" ca="1" si="5"/>
        <v>0</v>
      </c>
    </row>
    <row r="116" spans="1:15" ht="15" customHeight="1" x14ac:dyDescent="0.45">
      <c r="A116" s="82" t="str">
        <f ca="1">IFERROR(_xludf.xlookup('Pre-Audit Scoping'!$D$17&amp;"|"&amp;TEXT(98,"00"),State_Data!$I:$I,State_Data!$C:$C,""),"")</f>
        <v/>
      </c>
      <c r="B116" s="82" t="str">
        <f ca="1">IFERROR(_xludf.xlookup('Pre-Audit Scoping'!$D$17&amp;"|"&amp;TEXT(98,"00"),State_Data!$I:$I,State_Data!$D:$D,""),"")</f>
        <v/>
      </c>
      <c r="C116" s="82" t="str">
        <f ca="1">IFERROR(_xludf.xlookup('Pre-Audit Scoping'!$D$17&amp;"|"&amp;TEXT(98,"00"),State_Data!$I:$I,State_Data!$E:$E,""),"")</f>
        <v/>
      </c>
      <c r="D116" s="82" t="str">
        <f ca="1">IFERROR(_xludf.xlookup('Pre-Audit Scoping'!$D$17&amp;"|"&amp;TEXT(98,"00"),State_Data!$I:$I,State_Data!$F:$F,""),"")</f>
        <v/>
      </c>
      <c r="E116" s="82" t="s">
        <v>319</v>
      </c>
      <c r="F116" s="82">
        <f t="shared" ca="1" si="6"/>
        <v>0</v>
      </c>
      <c r="G116" s="82">
        <f ca="1">IFERROR(_xludf.xlookup('Pre-Audit Scoping'!$D$17&amp;"|"&amp;TEXT(98,"00"),State_Data!$I:$I,State_Data!$H:$H,0),0)</f>
        <v>0</v>
      </c>
      <c r="H116" s="82"/>
      <c r="I116" s="82"/>
      <c r="J116" s="82" t="str">
        <f ca="1">IFERROR(_xludf.xlookup('Pre-Audit Scoping'!$D$17&amp;"|"&amp;TEXT(98,"00"),State_Data!$I:$I,State_Data!$G:$G,""),"")</f>
        <v/>
      </c>
      <c r="K116" s="82"/>
      <c r="O116">
        <f t="shared" ca="1" si="5"/>
        <v>0</v>
      </c>
    </row>
    <row r="117" spans="1:15" ht="15" customHeight="1" x14ac:dyDescent="0.45">
      <c r="A117" s="81" t="str">
        <f ca="1">IFERROR(_xludf.xlookup('Pre-Audit Scoping'!$D$17&amp;"|"&amp;TEXT(99,"00"),State_Data!$I:$I,State_Data!$C:$C,""),"")</f>
        <v/>
      </c>
      <c r="B117" s="81" t="str">
        <f ca="1">IFERROR(_xludf.xlookup('Pre-Audit Scoping'!$D$17&amp;"|"&amp;TEXT(99,"00"),State_Data!$I:$I,State_Data!$D:$D,""),"")</f>
        <v/>
      </c>
      <c r="C117" s="81" t="str">
        <f ca="1">IFERROR(_xludf.xlookup('Pre-Audit Scoping'!$D$17&amp;"|"&amp;TEXT(99,"00"),State_Data!$I:$I,State_Data!$E:$E,""),"")</f>
        <v/>
      </c>
      <c r="D117" s="81" t="str">
        <f ca="1">IFERROR(_xludf.xlookup('Pre-Audit Scoping'!$D$17&amp;"|"&amp;TEXT(99,"00"),State_Data!$I:$I,State_Data!$F:$F,""),"")</f>
        <v/>
      </c>
      <c r="E117" s="81" t="s">
        <v>319</v>
      </c>
      <c r="F117" s="81">
        <f t="shared" ca="1" si="6"/>
        <v>0</v>
      </c>
      <c r="G117" s="81">
        <f ca="1">IFERROR(_xludf.xlookup('Pre-Audit Scoping'!$D$17&amp;"|"&amp;TEXT(99,"00"),State_Data!$I:$I,State_Data!$H:$H,0),0)</f>
        <v>0</v>
      </c>
      <c r="H117" s="81"/>
      <c r="I117" s="81"/>
      <c r="J117" s="81" t="str">
        <f ca="1">IFERROR(_xludf.xlookup('Pre-Audit Scoping'!$D$17&amp;"|"&amp;TEXT(99,"00"),State_Data!$I:$I,State_Data!$G:$G,""),"")</f>
        <v/>
      </c>
      <c r="K117" s="81"/>
      <c r="O117">
        <f t="shared" ca="1" si="5"/>
        <v>0</v>
      </c>
    </row>
    <row r="118" spans="1:15" ht="15" customHeight="1" x14ac:dyDescent="0.45">
      <c r="A118" s="82" t="str">
        <f ca="1">IFERROR(_xludf.xlookup('Pre-Audit Scoping'!$D$17&amp;"|"&amp;TEXT(100,"00"),State_Data!$I:$I,State_Data!$C:$C,""),"")</f>
        <v/>
      </c>
      <c r="B118" s="82" t="str">
        <f ca="1">IFERROR(_xludf.xlookup('Pre-Audit Scoping'!$D$17&amp;"|"&amp;TEXT(100,"00"),State_Data!$I:$I,State_Data!$D:$D,""),"")</f>
        <v/>
      </c>
      <c r="C118" s="82" t="str">
        <f ca="1">IFERROR(_xludf.xlookup('Pre-Audit Scoping'!$D$17&amp;"|"&amp;TEXT(100,"00"),State_Data!$I:$I,State_Data!$E:$E,""),"")</f>
        <v/>
      </c>
      <c r="D118" s="82" t="str">
        <f ca="1">IFERROR(_xludf.xlookup('Pre-Audit Scoping'!$D$17&amp;"|"&amp;TEXT(100,"00"),State_Data!$I:$I,State_Data!$F:$F,""),"")</f>
        <v/>
      </c>
      <c r="E118" s="82" t="s">
        <v>319</v>
      </c>
      <c r="F118" s="82">
        <f t="shared" ca="1" si="6"/>
        <v>0</v>
      </c>
      <c r="G118" s="82">
        <f ca="1">IFERROR(_xludf.xlookup('Pre-Audit Scoping'!$D$17&amp;"|"&amp;TEXT(100,"00"),State_Data!$I:$I,State_Data!$H:$H,0),0)</f>
        <v>0</v>
      </c>
      <c r="H118" s="82"/>
      <c r="I118" s="82"/>
      <c r="J118" s="82" t="str">
        <f ca="1">IFERROR(_xludf.xlookup('Pre-Audit Scoping'!$D$17&amp;"|"&amp;TEXT(100,"00"),State_Data!$I:$I,State_Data!$G:$G,""),"")</f>
        <v/>
      </c>
      <c r="K118" s="82"/>
      <c r="O118">
        <f t="shared" ca="1" si="5"/>
        <v>0</v>
      </c>
    </row>
  </sheetData>
  <dataValidations count="1">
    <dataValidation type="list" allowBlank="1" sqref="E19:E118" xr:uid="{00000000-0002-0000-1600-000000000000}">
      <formula1>"Best Practice,Verified,Low,Moderate,High,Very High,Not Applicable"</formula1>
      <formula2>0</formula2>
    </dataValidation>
  </dataValidation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297"/>
  <sheetViews>
    <sheetView workbookViewId="0"/>
  </sheetViews>
  <sheetFormatPr defaultColWidth="8.6640625" defaultRowHeight="14.25" x14ac:dyDescent="0.45"/>
  <cols>
    <col min="1" max="1" width="18" customWidth="1"/>
    <col min="2" max="2" width="8" customWidth="1"/>
    <col min="3" max="3" width="20" customWidth="1"/>
    <col min="4" max="4" width="55" customWidth="1"/>
    <col min="5" max="5" width="16" customWidth="1"/>
    <col min="6" max="7" width="6" customWidth="1"/>
    <col min="8" max="9" width="40" customWidth="1"/>
    <col min="10" max="10" width="16" customWidth="1"/>
    <col min="11" max="11" width="5" customWidth="1"/>
    <col min="12" max="12" width="8" customWidth="1"/>
  </cols>
  <sheetData>
    <row r="1" spans="1:12" ht="15" customHeight="1" x14ac:dyDescent="0.45">
      <c r="A1" s="83" t="s">
        <v>1550</v>
      </c>
      <c r="B1" s="83" t="s">
        <v>4</v>
      </c>
      <c r="C1" s="83" t="s">
        <v>193</v>
      </c>
      <c r="D1" s="83" t="s">
        <v>1551</v>
      </c>
      <c r="E1" s="83" t="s">
        <v>5</v>
      </c>
      <c r="F1" s="83" t="s">
        <v>159</v>
      </c>
      <c r="G1" s="83" t="s">
        <v>160</v>
      </c>
      <c r="H1" s="83" t="s">
        <v>7</v>
      </c>
      <c r="I1" s="83" t="s">
        <v>8</v>
      </c>
      <c r="J1" s="83" t="s">
        <v>9</v>
      </c>
      <c r="K1" s="83" t="s">
        <v>1552</v>
      </c>
      <c r="L1" s="83" t="s">
        <v>10</v>
      </c>
    </row>
    <row r="2" spans="1:12" ht="15" customHeight="1" x14ac:dyDescent="0.45">
      <c r="A2" t="s">
        <v>165</v>
      </c>
      <c r="B2" t="str">
        <f>'Confined Space'!A19</f>
        <v>CS-1</v>
      </c>
      <c r="C2" t="str">
        <f>'Confined Space'!B19</f>
        <v>General Requirements</v>
      </c>
      <c r="D2" t="str">
        <f>'Confined Space'!C19</f>
        <v>The employer must evaluate the workplace to determine if any spaces qualify as permit-required confined spaces (PRCS). A permit-required confined space is a space that: (1) is large enough and configured so an employee can bodily enter and perform assigned work; (2) has limited or restricted means for entry or exit; AND (3) is not designed for continuous employee occupancy; AND meets one or more of: contains or has the potential to contain a serious atmospheric hazard; contains a material with potential for engulfment; has an internal configuration that could trap or asphyxiate an entrant; contains any other recognized serious safety or health hazard.</v>
      </c>
      <c r="E2" t="str">
        <f>'Confined Space'!E19</f>
        <v>Not Applicable</v>
      </c>
      <c r="F2">
        <f>'Confined Space'!F19</f>
        <v>0</v>
      </c>
      <c r="G2">
        <f>'Confined Space'!G19</f>
        <v>10</v>
      </c>
      <c r="H2" t="str">
        <f>'Confined Space'!H19</f>
        <v>Test</v>
      </c>
      <c r="I2" t="str">
        <f>'Confined Space'!I19</f>
        <v>Test Method 123</v>
      </c>
      <c r="J2" t="str">
        <f>'Confined Space'!J19</f>
        <v>29 CFR 1910.146(c)(1),(c)(6)</v>
      </c>
      <c r="K2">
        <f>IF('Confined Space'!E19="Very High",5,IF('Confined Space'!E19="High",4,IF('Confined Space'!E19="Moderate",3,IF('Confined Space'!E19="Low",2,IF('Confined Space'!E19="Observation",1,0)))))</f>
        <v>0</v>
      </c>
      <c r="L2">
        <f>'Confined Space'!K19</f>
        <v>0</v>
      </c>
    </row>
    <row r="3" spans="1:12" ht="15" customHeight="1" x14ac:dyDescent="0.45">
      <c r="A3" t="s">
        <v>165</v>
      </c>
      <c r="B3" t="str">
        <f>'Confined Space'!A20</f>
        <v>CS-2</v>
      </c>
      <c r="C3" t="str">
        <f>'Confined Space'!B20</f>
        <v>General Requirements</v>
      </c>
      <c r="D3" t="str">
        <f>'Confined Space'!C20</f>
        <v>Each identified permit-required confined space must be identified by posting a warning sign at or near the entry point. Signs must include wording such as: 'DANGER — PERMIT-REQUIRED CONFINED SPACE — AUTHORIZED ENTRANTS ONLY' (or equivalent language that conveys the hazard). If signage is not practical, another equally effective means of informing employees must be used.</v>
      </c>
      <c r="E3" t="str">
        <f>'Confined Space'!E20</f>
        <v>Low</v>
      </c>
      <c r="F3">
        <f>'Confined Space'!F20</f>
        <v>6.8</v>
      </c>
      <c r="G3">
        <f>'Confined Space'!G20</f>
        <v>8</v>
      </c>
      <c r="H3" t="str">
        <f>'Confined Space'!H20</f>
        <v>Testing is cool</v>
      </c>
      <c r="I3" t="str">
        <f>'Confined Space'!I20</f>
        <v>testing is the best</v>
      </c>
      <c r="J3" t="str">
        <f>'Confined Space'!J20</f>
        <v>29 CFR 1910.146(c)(2)</v>
      </c>
      <c r="K3">
        <f>IF('Confined Space'!E20="Very High",5,IF('Confined Space'!E20="High",4,IF('Confined Space'!E20="Moderate",3,IF('Confined Space'!E20="Low",2,IF('Confined Space'!E20="Observation",1,0)))))</f>
        <v>2</v>
      </c>
      <c r="L3">
        <f>'Confined Space'!K20</f>
        <v>0</v>
      </c>
    </row>
    <row r="4" spans="1:12" ht="15" customHeight="1" x14ac:dyDescent="0.45">
      <c r="A4" t="s">
        <v>165</v>
      </c>
      <c r="B4" t="str">
        <f>'Confined Space'!A21</f>
        <v>CS-3</v>
      </c>
      <c r="C4" t="str">
        <f>'Confined Space'!B21</f>
        <v>General Requirements</v>
      </c>
      <c r="D4" t="str">
        <f>'Confined Space'!C21</f>
        <v>If the employer decides employees will not enter any confined space, the employer must take effective measures to prevent employee entry — not just post a sign. Effective measures include: welding or bolting covers shut, installing padlocked barriers, or other physical means that prevent unauthorized access.</v>
      </c>
      <c r="E4" t="str">
        <f>'Confined Space'!E21</f>
        <v>Very High</v>
      </c>
      <c r="F4">
        <f>'Confined Space'!F21</f>
        <v>0</v>
      </c>
      <c r="G4">
        <f>'Confined Space'!G21</f>
        <v>6</v>
      </c>
      <c r="H4" t="str">
        <f>'Confined Space'!H21</f>
        <v>trial and tribulation</v>
      </c>
      <c r="I4" t="str">
        <f>'Confined Space'!I21</f>
        <v>test</v>
      </c>
      <c r="J4" t="str">
        <f>'Confined Space'!J21</f>
        <v>29 CFR 1910.146(c)(3)</v>
      </c>
      <c r="K4">
        <f>IF('Confined Space'!E21="Very High",5,IF('Confined Space'!E21="High",4,IF('Confined Space'!E21="Moderate",3,IF('Confined Space'!E21="Low",2,IF('Confined Space'!E21="Observation",1,0)))))</f>
        <v>5</v>
      </c>
      <c r="L4">
        <f>'Confined Space'!K21</f>
        <v>0</v>
      </c>
    </row>
    <row r="5" spans="1:12" ht="15" customHeight="1" x14ac:dyDescent="0.45">
      <c r="A5" t="s">
        <v>165</v>
      </c>
      <c r="B5" t="str">
        <f>'Confined Space'!A23</f>
        <v>CS-4</v>
      </c>
      <c r="C5" t="str">
        <f>'Confined Space'!B23</f>
        <v>Contractors</v>
      </c>
      <c r="D5" t="str">
        <f>'Confined Space'!C23</f>
        <v>When contractors perform work at this facility, the host employer must: (1) Inform the contractor that the workplace contains permit-required confined spaces. (2) Inform the contractor of the spaces' locations and the hazards present. (3) Inform the contractor of the employer's experience with the spaces. (4) Inform the contractor of any precautions or procedures implemented for protection. (5) Coordinate entry operations if both employer and contractor will be working in or near a PRCS simultaneously. (6) Debrief the contractor after entry operations to identify any hazards discovered.</v>
      </c>
      <c r="E5" t="str">
        <f>'Confined Space'!E23</f>
        <v>Not Applicable</v>
      </c>
      <c r="F5">
        <f>'Confined Space'!F23</f>
        <v>0</v>
      </c>
      <c r="G5">
        <f>'Confined Space'!G23</f>
        <v>8</v>
      </c>
      <c r="H5">
        <f>'Confined Space'!H23</f>
        <v>0</v>
      </c>
      <c r="I5">
        <f>'Confined Space'!I23</f>
        <v>0</v>
      </c>
      <c r="J5" t="str">
        <f>'Confined Space'!J23</f>
        <v>29 CFR 1910.146(c)(8),(c)(9)</v>
      </c>
      <c r="K5">
        <f>IF('Confined Space'!E23="Very High",5,IF('Confined Space'!E23="High",4,IF('Confined Space'!E23="Moderate",3,IF('Confined Space'!E23="Low",2,IF('Confined Space'!E23="Observation",1,0)))))</f>
        <v>0</v>
      </c>
      <c r="L5">
        <f>'Confined Space'!K23</f>
        <v>0</v>
      </c>
    </row>
    <row r="6" spans="1:12" ht="15" customHeight="1" x14ac:dyDescent="0.45">
      <c r="A6" t="s">
        <v>165</v>
      </c>
      <c r="B6" t="str">
        <f>'Confined Space'!A25</f>
        <v>CS-5</v>
      </c>
      <c r="C6" t="str">
        <f>'Confined Space'!B25</f>
        <v>Permit-Required Confined Space Program</v>
      </c>
      <c r="D6" t="str">
        <f>'Confined Space'!C25</f>
        <v>An employer whose employees enter permit spaces must develop and implement a written PRCS entry program. The program must be made available for inspection by employees and their authorized representatives.</v>
      </c>
      <c r="E6" t="str">
        <f>'Confined Space'!E25</f>
        <v>Low</v>
      </c>
      <c r="F6">
        <f>'Confined Space'!F25</f>
        <v>8.5</v>
      </c>
      <c r="G6">
        <f>'Confined Space'!G25</f>
        <v>10</v>
      </c>
      <c r="H6">
        <f>'Confined Space'!H25</f>
        <v>0</v>
      </c>
      <c r="I6">
        <f>'Confined Space'!I25</f>
        <v>0</v>
      </c>
      <c r="J6" t="str">
        <f>'Confined Space'!J25</f>
        <v>29 CFR 1910.146(c)(4),(d)(1)-(d)(2),(l)</v>
      </c>
      <c r="K6">
        <f>IF('Confined Space'!E25="Very High",5,IF('Confined Space'!E25="High",4,IF('Confined Space'!E25="Moderate",3,IF('Confined Space'!E25="Low",2,IF('Confined Space'!E25="Observation",1,0)))))</f>
        <v>2</v>
      </c>
      <c r="L6">
        <f>'Confined Space'!K25</f>
        <v>0</v>
      </c>
    </row>
    <row r="7" spans="1:12" ht="15" customHeight="1" x14ac:dyDescent="0.45">
      <c r="A7" t="s">
        <v>165</v>
      </c>
      <c r="B7" t="str">
        <f>'Confined Space'!A26</f>
        <v>CS-6</v>
      </c>
      <c r="C7" t="str">
        <f>'Confined Space'!B26</f>
        <v>Permit-Required Confined Space Program</v>
      </c>
      <c r="D7" t="str">
        <f>'Confined Space'!C26</f>
        <v>The written PRCS program must include ALL 14 required elements per 29 CFR 1910.146(d)(3)-(d)(14). Missing any element is a citable deficiency. See the Evidence column checklist.</v>
      </c>
      <c r="E7" t="str">
        <f>'Confined Space'!E26</f>
        <v>High</v>
      </c>
      <c r="F7">
        <f>'Confined Space'!F26</f>
        <v>3</v>
      </c>
      <c r="G7">
        <f>'Confined Space'!G26</f>
        <v>10</v>
      </c>
      <c r="H7">
        <f>'Confined Space'!H26</f>
        <v>0</v>
      </c>
      <c r="I7">
        <f>'Confined Space'!I26</f>
        <v>0</v>
      </c>
      <c r="J7" t="str">
        <f>'Confined Space'!J26</f>
        <v>29 CFR 1910.146(d)(3),(d)(6)-(d)(14)</v>
      </c>
      <c r="K7">
        <f>IF('Confined Space'!E26="Very High",5,IF('Confined Space'!E26="High",4,IF('Confined Space'!E26="Moderate",3,IF('Confined Space'!E26="Low",2,IF('Confined Space'!E26="Observation",1,0)))))</f>
        <v>4</v>
      </c>
      <c r="L7">
        <f>'Confined Space'!K26</f>
        <v>0</v>
      </c>
    </row>
    <row r="8" spans="1:12" ht="15" customHeight="1" x14ac:dyDescent="0.45">
      <c r="A8" t="s">
        <v>165</v>
      </c>
      <c r="B8" t="str">
        <f>'Confined Space'!A27</f>
        <v>CS-7</v>
      </c>
      <c r="C8" t="str">
        <f>'Confined Space'!B27</f>
        <v>Permit-Required Confined Space Program</v>
      </c>
      <c r="D8" t="str">
        <f>'Confined Space'!C27</f>
        <v>The employer must provide and maintain all equipment necessary for safe PRCS entry at no cost to the employee. Required equipment includes: (1) Testing and monitoring equipment for atmospheric hazards (calibrated multi-gas meter for O2, LEL, CO, and H2S at minimum); (2) Ventilating equipment sufficient to obtain acceptable entry conditions; (3) Communications equipment; (4) Personal protective equipment; (5) Lighting equipment to enable employees to see well enough to work safely and exit quickly in an emergency; (6) Barriers and shields; (7) Equipment for safe ingress and egress; (8) Rescue and emergency equipment.</v>
      </c>
      <c r="E8" t="str">
        <f>'Confined Space'!E27</f>
        <v>Moderate</v>
      </c>
      <c r="F8">
        <f>'Confined Space'!F27</f>
        <v>7</v>
      </c>
      <c r="G8">
        <f>'Confined Space'!G27</f>
        <v>10</v>
      </c>
      <c r="H8">
        <f>'Confined Space'!H27</f>
        <v>0</v>
      </c>
      <c r="I8">
        <f>'Confined Space'!I27</f>
        <v>0</v>
      </c>
      <c r="J8" t="str">
        <f>'Confined Space'!J27</f>
        <v>29 CFR 1910.146(d)(4)</v>
      </c>
      <c r="K8">
        <f>IF('Confined Space'!E27="Very High",5,IF('Confined Space'!E27="High",4,IF('Confined Space'!E27="Moderate",3,IF('Confined Space'!E27="Low",2,IF('Confined Space'!E27="Observation",1,0)))))</f>
        <v>3</v>
      </c>
      <c r="L8">
        <f>'Confined Space'!K27</f>
        <v>0</v>
      </c>
    </row>
    <row r="9" spans="1:12" ht="15" customHeight="1" x14ac:dyDescent="0.45">
      <c r="A9" t="s">
        <v>165</v>
      </c>
      <c r="B9" t="str">
        <f>'Confined Space'!A28</f>
        <v>CS-8</v>
      </c>
      <c r="C9" t="str">
        <f>'Confined Space'!B28</f>
        <v>Permit-Required Confined Space Program</v>
      </c>
      <c r="D9" t="str">
        <f>'Confined Space'!C28</f>
        <v>Atmospheric monitoring must be conducted: (1) Before entry authorization is granted — to test for the presence of atmospheric hazards. (2) As needed during entry — to ensure acceptable entry conditions are maintained for the duration of the entry. Testing must be conducted by or under the direction of a qualified person using properly calibrated instruments. The atmosphere must be tested for: oxygen content (acceptable range: 19.5% to 23.5%); flammable gases and vapors (must be less than 10% of LFL); potential toxic air contaminants (below applicable PEL).</v>
      </c>
      <c r="E9" t="str">
        <f>'Confined Space'!E28</f>
        <v>Very High</v>
      </c>
      <c r="F9">
        <f>'Confined Space'!F28</f>
        <v>0</v>
      </c>
      <c r="G9">
        <f>'Confined Space'!G28</f>
        <v>10</v>
      </c>
      <c r="H9">
        <f>'Confined Space'!H28</f>
        <v>0</v>
      </c>
      <c r="I9">
        <f>'Confined Space'!I28</f>
        <v>0</v>
      </c>
      <c r="J9" t="str">
        <f>'Confined Space'!J28</f>
        <v>29 CFR 1910.146(d)(5)</v>
      </c>
      <c r="K9">
        <f>IF('Confined Space'!E28="Very High",5,IF('Confined Space'!E28="High",4,IF('Confined Space'!E28="Moderate",3,IF('Confined Space'!E28="Low",2,IF('Confined Space'!E28="Observation",1,0)))))</f>
        <v>5</v>
      </c>
      <c r="L9">
        <f>'Confined Space'!K28</f>
        <v>0</v>
      </c>
    </row>
    <row r="10" spans="1:12" ht="15" customHeight="1" x14ac:dyDescent="0.45">
      <c r="A10" t="s">
        <v>165</v>
      </c>
      <c r="B10" t="str">
        <f>'Confined Space'!A29</f>
        <v>CS-9</v>
      </c>
      <c r="C10" t="str">
        <f>'Confined Space'!B29</f>
        <v>Permit-Required Confined Space Program</v>
      </c>
      <c r="D10" t="str">
        <f>'Confined Space'!C29</f>
        <v>An employer may use an alternate procedure (continuous forced-air ventilation without a full permit) ONLY when ALL of the following conditions are met: (1) The only hazard in the space is an actual or potential hazardous atmosphere; (2) The hazardous atmosphere can be controlled by continuous forced-air ventilation alone; (3) The employer can demonstrate that entry can be made safely; (4) The written program describes the means, procedures, and practices used; (5) The atmosphere is tested before any employee enters to confirm the ventilation has worked; (6) Atmospheric testing continues as necessary.</v>
      </c>
      <c r="E10" t="str">
        <f>'Confined Space'!E29</f>
        <v>Best Practice</v>
      </c>
      <c r="F10">
        <f>'Confined Space'!F29</f>
        <v>6</v>
      </c>
      <c r="G10">
        <f>'Confined Space'!G29</f>
        <v>6</v>
      </c>
      <c r="H10">
        <f>'Confined Space'!H29</f>
        <v>0</v>
      </c>
      <c r="I10">
        <f>'Confined Space'!I29</f>
        <v>0</v>
      </c>
      <c r="J10" t="str">
        <f>'Confined Space'!J29</f>
        <v>29 CFR 1910.146(c)(5)</v>
      </c>
      <c r="K10">
        <f>IF('Confined Space'!E29="Very High",5,IF('Confined Space'!E29="High",4,IF('Confined Space'!E29="Moderate",3,IF('Confined Space'!E29="Low",2,IF('Confined Space'!E29="Observation",1,0)))))</f>
        <v>0</v>
      </c>
      <c r="L10">
        <f>'Confined Space'!K29</f>
        <v>0</v>
      </c>
    </row>
    <row r="11" spans="1:12" ht="15" customHeight="1" x14ac:dyDescent="0.45">
      <c r="A11" t="s">
        <v>165</v>
      </c>
      <c r="B11" t="str">
        <f>'Confined Space'!A30</f>
        <v>CS-10</v>
      </c>
      <c r="C11" t="str">
        <f>'Confined Space'!B30</f>
        <v>Permit-Required Confined Space Program</v>
      </c>
      <c r="D11" t="str">
        <f>'Confined Space'!C30</f>
        <v>When an alternate entry procedure is used, the employer must: (1) Test the atmosphere within the space before any employee enters to demonstrate the ventilation has worked. (2) Continue atmospheric testing as often as necessary to ensure acceptable conditions exist throughout the entry. (3) If a hazardous atmosphere is detected during entry, have each employee leave the space immediately and investigate, evaluate, and remedy the hazardous atmosphere before re-entering.</v>
      </c>
      <c r="E11" t="str">
        <f>'Confined Space'!E30</f>
        <v>Verified</v>
      </c>
      <c r="F11">
        <f>'Confined Space'!F30</f>
        <v>6</v>
      </c>
      <c r="G11">
        <f>'Confined Space'!G30</f>
        <v>6</v>
      </c>
      <c r="H11">
        <f>'Confined Space'!H30</f>
        <v>0</v>
      </c>
      <c r="I11">
        <f>'Confined Space'!I30</f>
        <v>0</v>
      </c>
      <c r="J11" t="str">
        <f>'Confined Space'!J30</f>
        <v>29 CFR 1910.146(c)(5)(ii)</v>
      </c>
      <c r="K11">
        <f>IF('Confined Space'!E30="Very High",5,IF('Confined Space'!E30="High",4,IF('Confined Space'!E30="Moderate",3,IF('Confined Space'!E30="Low",2,IF('Confined Space'!E30="Observation",1,0)))))</f>
        <v>0</v>
      </c>
      <c r="L11">
        <f>'Confined Space'!K30</f>
        <v>0</v>
      </c>
    </row>
    <row r="12" spans="1:12" ht="15" customHeight="1" x14ac:dyDescent="0.45">
      <c r="A12" t="s">
        <v>165</v>
      </c>
      <c r="B12" t="str">
        <f>'Confined Space'!A31</f>
        <v>CS-11</v>
      </c>
      <c r="C12" t="str">
        <f>'Confined Space'!B31</f>
        <v>Permit-Required Confined Space Program</v>
      </c>
      <c r="D12" t="str">
        <f>'Confined Space'!C31</f>
        <v>A permit-required confined space may be reclassified as a non-permit-required confined space ONLY when: (1) the space contains no actual or potential serious safety or health hazards; AND (2) the employer documents that the hazardous characteristics have been permanently eliminated (not just controlled). The documentation must be certified and made available to employees.</v>
      </c>
      <c r="E12" t="str">
        <f>'Confined Space'!E31</f>
        <v>Low</v>
      </c>
      <c r="F12">
        <f>'Confined Space'!F31</f>
        <v>5.0999999999999996</v>
      </c>
      <c r="G12">
        <f>'Confined Space'!G31</f>
        <v>6</v>
      </c>
      <c r="H12">
        <f>'Confined Space'!H31</f>
        <v>0</v>
      </c>
      <c r="I12">
        <f>'Confined Space'!I31</f>
        <v>0</v>
      </c>
      <c r="J12" t="str">
        <f>'Confined Space'!J31</f>
        <v>29 CFR 1910.146(c)(7)</v>
      </c>
      <c r="K12">
        <f>IF('Confined Space'!E31="Very High",5,IF('Confined Space'!E31="High",4,IF('Confined Space'!E31="Moderate",3,IF('Confined Space'!E31="Low",2,IF('Confined Space'!E31="Observation",1,0)))))</f>
        <v>2</v>
      </c>
      <c r="L12">
        <f>'Confined Space'!K31</f>
        <v>0</v>
      </c>
    </row>
    <row r="13" spans="1:12" ht="15" customHeight="1" x14ac:dyDescent="0.45">
      <c r="A13" t="s">
        <v>165</v>
      </c>
      <c r="B13" t="str">
        <f>'Confined Space'!A33</f>
        <v>CS-12</v>
      </c>
      <c r="C13" t="str">
        <f>'Confined Space'!B33</f>
        <v>Entry Permits</v>
      </c>
      <c r="D13" t="str">
        <f>'Confined Space'!C33</f>
        <v>Before entry is authorized, the employer must prepare and issue an entry permit containing ALL 15 required components per 29 CFR 1910.146(f). A permit missing any required component is deficient. See Evidence column checklist.</v>
      </c>
      <c r="E13" t="str">
        <f>'Confined Space'!E33</f>
        <v>Moderate</v>
      </c>
      <c r="F13">
        <f>'Confined Space'!F33</f>
        <v>7</v>
      </c>
      <c r="G13">
        <f>'Confined Space'!G33</f>
        <v>10</v>
      </c>
      <c r="H13">
        <f>'Confined Space'!H33</f>
        <v>0</v>
      </c>
      <c r="I13">
        <f>'Confined Space'!I33</f>
        <v>0</v>
      </c>
      <c r="J13" t="str">
        <f>'Confined Space'!J33</f>
        <v>29 CFR 1910.146(f)</v>
      </c>
      <c r="K13">
        <f>IF('Confined Space'!E33="Very High",5,IF('Confined Space'!E33="High",4,IF('Confined Space'!E33="Moderate",3,IF('Confined Space'!E33="Low",2,IF('Confined Space'!E33="Observation",1,0)))))</f>
        <v>3</v>
      </c>
      <c r="L13">
        <f>'Confined Space'!K33</f>
        <v>0</v>
      </c>
    </row>
    <row r="14" spans="1:12" ht="15" customHeight="1" x14ac:dyDescent="0.45">
      <c r="A14" t="s">
        <v>165</v>
      </c>
      <c r="B14" t="str">
        <f>'Confined Space'!A34</f>
        <v>CS-13</v>
      </c>
      <c r="C14" t="str">
        <f>'Confined Space'!B34</f>
        <v>Entry Permits</v>
      </c>
      <c r="D14" t="str">
        <f>'Confined Space'!C34</f>
        <v>The permit must be properly used before and during entry: (1) Signed by the entry supervisor who verifies that all required entries on the permit have been made; (2) Made available to authorized entrants through posting at the permit space entrance or another equally effective means; (3) Actively used by the attendant to track authorized entrants; (4) Retained after operations are completed and the permit is canceled.</v>
      </c>
      <c r="E14" t="str">
        <f>'Confined Space'!E34</f>
        <v>High</v>
      </c>
      <c r="F14">
        <f>'Confined Space'!F34</f>
        <v>2.4</v>
      </c>
      <c r="G14">
        <f>'Confined Space'!G34</f>
        <v>8</v>
      </c>
      <c r="H14">
        <f>'Confined Space'!H34</f>
        <v>0</v>
      </c>
      <c r="I14">
        <f>'Confined Space'!I34</f>
        <v>0</v>
      </c>
      <c r="J14" t="str">
        <f>'Confined Space'!J34</f>
        <v>29 CFR 1910.146(e)(1)-(e)(4)</v>
      </c>
      <c r="K14">
        <f>IF('Confined Space'!E34="Very High",5,IF('Confined Space'!E34="High",4,IF('Confined Space'!E34="Moderate",3,IF('Confined Space'!E34="Low",2,IF('Confined Space'!E34="Observation",1,0)))))</f>
        <v>4</v>
      </c>
      <c r="L14">
        <f>'Confined Space'!K34</f>
        <v>0</v>
      </c>
    </row>
    <row r="15" spans="1:12" ht="15" customHeight="1" x14ac:dyDescent="0.45">
      <c r="A15" t="s">
        <v>165</v>
      </c>
      <c r="B15" t="str">
        <f>'Confined Space'!A35</f>
        <v>CS-14</v>
      </c>
      <c r="C15" t="str">
        <f>'Confined Space'!B35</f>
        <v>Entry Permits</v>
      </c>
      <c r="D15" t="str">
        <f>'Confined Space'!C35</f>
        <v>Entry must be terminated and the permit canceled under two conditions: (1) When the work covered by the permit has been completed; OR (2) When a prohibited condition arises — any condition not allowed by the permit, including an atmospheric reading outside acceptable parameters, an equipment failure, or an unexpected hazard. All authorized entrants must immediately evacuate when entry is terminated due to a prohibited condition.</v>
      </c>
      <c r="E15" t="str">
        <f>'Confined Space'!E35</f>
        <v>Very High</v>
      </c>
      <c r="F15">
        <f>'Confined Space'!F35</f>
        <v>0</v>
      </c>
      <c r="G15">
        <f>'Confined Space'!G35</f>
        <v>6</v>
      </c>
      <c r="H15">
        <f>'Confined Space'!H35</f>
        <v>0</v>
      </c>
      <c r="I15">
        <f>'Confined Space'!I35</f>
        <v>0</v>
      </c>
      <c r="J15" t="str">
        <f>'Confined Space'!J35</f>
        <v>29 CFR 1910.146(e)(5)</v>
      </c>
      <c r="K15">
        <f>IF('Confined Space'!E35="Very High",5,IF('Confined Space'!E35="High",4,IF('Confined Space'!E35="Moderate",3,IF('Confined Space'!E35="Low",2,IF('Confined Space'!E35="Observation",1,0)))))</f>
        <v>5</v>
      </c>
      <c r="L15">
        <f>'Confined Space'!K35</f>
        <v>0</v>
      </c>
    </row>
    <row r="16" spans="1:12" ht="15" customHeight="1" x14ac:dyDescent="0.45">
      <c r="A16" t="s">
        <v>165</v>
      </c>
      <c r="B16" t="str">
        <f>'Confined Space'!A36</f>
        <v>CS-15</v>
      </c>
      <c r="C16" t="str">
        <f>'Confined Space'!B36</f>
        <v>Entry Permits</v>
      </c>
      <c r="D16" t="str">
        <f>'Confined Space'!C36</f>
        <v>Canceled entry permits must be retained for at least 1 year following each entry. Within 1 year of each entry, the employer must review the canceled permits for that entry and use them to revise the permit program as needed to ensure that employees are protected from permit space hazards.</v>
      </c>
      <c r="E16" t="str">
        <f>'Confined Space'!E36</f>
        <v>Not Applicable</v>
      </c>
      <c r="F16">
        <f>'Confined Space'!F36</f>
        <v>0</v>
      </c>
      <c r="G16">
        <f>'Confined Space'!G36</f>
        <v>6</v>
      </c>
      <c r="H16">
        <f>'Confined Space'!H36</f>
        <v>0</v>
      </c>
      <c r="I16">
        <f>'Confined Space'!I36</f>
        <v>0</v>
      </c>
      <c r="J16" t="str">
        <f>'Confined Space'!J36</f>
        <v>29 CFR 1910.146(e)(6)</v>
      </c>
      <c r="K16">
        <f>IF('Confined Space'!E36="Very High",5,IF('Confined Space'!E36="High",4,IF('Confined Space'!E36="Moderate",3,IF('Confined Space'!E36="Low",2,IF('Confined Space'!E36="Observation",1,0)))))</f>
        <v>0</v>
      </c>
      <c r="L16">
        <f>'Confined Space'!K36</f>
        <v>0</v>
      </c>
    </row>
    <row r="17" spans="1:12" ht="15" customHeight="1" x14ac:dyDescent="0.45">
      <c r="A17" t="s">
        <v>165</v>
      </c>
      <c r="B17" t="str">
        <f>'Confined Space'!A38</f>
        <v>CS-16</v>
      </c>
      <c r="C17" t="str">
        <f>'Confined Space'!B38</f>
        <v>Training and Role Duties</v>
      </c>
      <c r="D17" t="str">
        <f>'Confined Space'!C38</f>
        <v>Training must be provided to each employee whose work is regulated by the PRCS standard. Training must be provided: (1) Before the employee is first assigned duties under the standard; (2) Before there is a change in assigned duties; (3) Whenever there is a change in permit space operations that presents a hazard that employees have not been trained for; (4) Whenever the employer has reason to believe employees do not have the required understanding, knowledge, or skills. Training must establish employee proficiency in duties assigned and must be specific to the role (authorized entrant, attendant, entry supervisor, rescue).</v>
      </c>
      <c r="E17" t="str">
        <f>'Confined Space'!E38</f>
        <v>Best Practice</v>
      </c>
      <c r="F17">
        <f>'Confined Space'!F38</f>
        <v>10</v>
      </c>
      <c r="G17">
        <f>'Confined Space'!G38</f>
        <v>10</v>
      </c>
      <c r="H17">
        <f>'Confined Space'!H38</f>
        <v>0</v>
      </c>
      <c r="I17">
        <f>'Confined Space'!I38</f>
        <v>0</v>
      </c>
      <c r="J17" t="str">
        <f>'Confined Space'!J38</f>
        <v>29 CFR 1910.146(g)</v>
      </c>
      <c r="K17">
        <f>IF('Confined Space'!E38="Very High",5,IF('Confined Space'!E38="High",4,IF('Confined Space'!E38="Moderate",3,IF('Confined Space'!E38="Low",2,IF('Confined Space'!E38="Observation",1,0)))))</f>
        <v>0</v>
      </c>
      <c r="L17">
        <f>'Confined Space'!K38</f>
        <v>0</v>
      </c>
    </row>
    <row r="18" spans="1:12" ht="15" customHeight="1" x14ac:dyDescent="0.45">
      <c r="A18" t="s">
        <v>165</v>
      </c>
      <c r="B18" t="str">
        <f>'Confined Space'!A39</f>
        <v>CS-17</v>
      </c>
      <c r="C18" t="str">
        <f>'Confined Space'!B39</f>
        <v>Training and Role Duties</v>
      </c>
      <c r="D18" t="str">
        <f>'Confined Space'!C39</f>
        <v>Authorized entrants must be able to: (1) Know the hazards that may be faced during entry, including information on the mode, signs or symptoms, and consequences of the exposure; (2) Properly use equipment; (3) Communicate with the attendant as necessary; (4) Alert the attendant whenever the entrant recognizes any warning sign or symptom of exposure or a prohibited condition; (5) Exit from the permit space as quickly as possible whenever ordered by the attendant or entry supervisor, an evacuation alarm is activated, or they recognize a warning sign, symptom, or prohibited condition.</v>
      </c>
      <c r="E18" t="str">
        <f>'Confined Space'!E39</f>
        <v>Verified</v>
      </c>
      <c r="F18">
        <f>'Confined Space'!F39</f>
        <v>8</v>
      </c>
      <c r="G18">
        <f>'Confined Space'!G39</f>
        <v>8</v>
      </c>
      <c r="H18">
        <f>'Confined Space'!H39</f>
        <v>0</v>
      </c>
      <c r="I18">
        <f>'Confined Space'!I39</f>
        <v>0</v>
      </c>
      <c r="J18" t="str">
        <f>'Confined Space'!J39</f>
        <v>29 CFR 1910.146(h)</v>
      </c>
      <c r="K18">
        <f>IF('Confined Space'!E39="Very High",5,IF('Confined Space'!E39="High",4,IF('Confined Space'!E39="Moderate",3,IF('Confined Space'!E39="Low",2,IF('Confined Space'!E39="Observation",1,0)))))</f>
        <v>0</v>
      </c>
      <c r="L18">
        <f>'Confined Space'!K39</f>
        <v>0</v>
      </c>
    </row>
    <row r="19" spans="1:12" ht="15" customHeight="1" x14ac:dyDescent="0.45">
      <c r="A19" t="s">
        <v>165</v>
      </c>
      <c r="B19" t="str">
        <f>'Confined Space'!A40</f>
        <v>CS-18</v>
      </c>
      <c r="C19" t="str">
        <f>'Confined Space'!B40</f>
        <v>Training and Role Duties</v>
      </c>
      <c r="D19" t="str">
        <f>'Confined Space'!C40</f>
        <v>Attendants must be able to: (1) Know the hazards that may be faced during entry; (2) Know the behavioral effects of hazard exposure; (3) Continuously maintain an accurate count of authorized entrants in the permit space; (4) Remain outside the permit space during entry operations and NOT enter the space under any circumstances unless a relieving attendant has taken over; (5) Communicate with entrants as necessary; (6) Monitor activities inside and outside the space to determine whether it is safe for entrants to remain; (7) Order evacuation when a prohibited condition occurs, an entrant shows behavioral effects, an emergency arises, or the attendant cannot perform duties; (8) Summon rescue services without entering the space; (9) Prevent unauthorized entry; (10) Perform non-entry rescues per the rescue procedure.</v>
      </c>
      <c r="E19" t="str">
        <f>'Confined Space'!E40</f>
        <v>Low</v>
      </c>
      <c r="F19">
        <f>'Confined Space'!F40</f>
        <v>6.8</v>
      </c>
      <c r="G19">
        <f>'Confined Space'!G40</f>
        <v>8</v>
      </c>
      <c r="H19">
        <f>'Confined Space'!H40</f>
        <v>0</v>
      </c>
      <c r="I19">
        <f>'Confined Space'!I40</f>
        <v>0</v>
      </c>
      <c r="J19" t="str">
        <f>'Confined Space'!J40</f>
        <v>29 CFR 1910.146(i)</v>
      </c>
      <c r="K19">
        <f>IF('Confined Space'!E40="Very High",5,IF('Confined Space'!E40="High",4,IF('Confined Space'!E40="Moderate",3,IF('Confined Space'!E40="Low",2,IF('Confined Space'!E40="Observation",1,0)))))</f>
        <v>2</v>
      </c>
      <c r="L19">
        <f>'Confined Space'!K40</f>
        <v>0</v>
      </c>
    </row>
    <row r="20" spans="1:12" ht="15" customHeight="1" x14ac:dyDescent="0.45">
      <c r="A20" t="s">
        <v>165</v>
      </c>
      <c r="B20" t="str">
        <f>'Confined Space'!A41</f>
        <v>CS-19</v>
      </c>
      <c r="C20" t="str">
        <f>'Confined Space'!B41</f>
        <v>Training and Role Duties</v>
      </c>
      <c r="D20" t="str">
        <f>'Confined Space'!C41</f>
        <v>Entry supervisors must be able to: (1) Know the hazards that may be faced; (2) Verify by checking all entries on the permit that all tests, procedures, and equipment are in place before endorsing and authorizing entry; (3) Terminate entry and cancel the permit when required; (4) Verify that rescue services are available; (5) Remove unauthorized individuals; (6) Determine whenever responsibility for a permit space entry operation is transferred to a new supervisor, and when conditions change, whether it is still safe to enter.</v>
      </c>
      <c r="E20" t="str">
        <f>'Confined Space'!E41</f>
        <v>Moderate</v>
      </c>
      <c r="F20">
        <f>'Confined Space'!F41</f>
        <v>5.6</v>
      </c>
      <c r="G20">
        <f>'Confined Space'!G41</f>
        <v>8</v>
      </c>
      <c r="H20">
        <f>'Confined Space'!H41</f>
        <v>0</v>
      </c>
      <c r="I20">
        <f>'Confined Space'!I41</f>
        <v>0</v>
      </c>
      <c r="J20" t="str">
        <f>'Confined Space'!J41</f>
        <v>29 CFR 1910.146(j)</v>
      </c>
      <c r="K20">
        <f>IF('Confined Space'!E41="Very High",5,IF('Confined Space'!E41="High",4,IF('Confined Space'!E41="Moderate",3,IF('Confined Space'!E41="Low",2,IF('Confined Space'!E41="Observation",1,0)))))</f>
        <v>3</v>
      </c>
      <c r="L20">
        <f>'Confined Space'!K41</f>
        <v>0</v>
      </c>
    </row>
    <row r="21" spans="1:12" ht="15" customHeight="1" x14ac:dyDescent="0.45">
      <c r="A21" t="s">
        <v>165</v>
      </c>
      <c r="B21" t="str">
        <f>'Confined Space'!A43</f>
        <v>CS-20</v>
      </c>
      <c r="C21" t="str">
        <f>'Confined Space'!B43</f>
        <v>Rescue Operations and Equipment</v>
      </c>
      <c r="D21" t="str">
        <f>'Confined Space'!C43</f>
        <v>The employer must select a rescue service capable of responding to a rescue summons in a timely manner, considering the hazards identified and the type of permit space operations at this facility. If an off-site emergency responder (fire department) is used, the employer must: (1) Inform the responder of the hazards; (2) Provide the responder with access to the facility for pre-entry rescue planning; (3) Evaluate the service's ability to respond effectively.</v>
      </c>
      <c r="E21" t="str">
        <f>'Confined Space'!E43</f>
        <v>High</v>
      </c>
      <c r="F21">
        <f>'Confined Space'!F43</f>
        <v>2.4</v>
      </c>
      <c r="G21">
        <f>'Confined Space'!G43</f>
        <v>8</v>
      </c>
      <c r="H21">
        <f>'Confined Space'!H43</f>
        <v>0</v>
      </c>
      <c r="I21">
        <f>'Confined Space'!I43</f>
        <v>0</v>
      </c>
      <c r="J21" t="str">
        <f>'Confined Space'!J43</f>
        <v>29 CFR 1910.146(k)(1)</v>
      </c>
      <c r="K21">
        <f>IF('Confined Space'!E43="Very High",5,IF('Confined Space'!E43="High",4,IF('Confined Space'!E43="Moderate",3,IF('Confined Space'!E43="Low",2,IF('Confined Space'!E43="Observation",1,0)))))</f>
        <v>4</v>
      </c>
      <c r="L21">
        <f>'Confined Space'!K43</f>
        <v>0</v>
      </c>
    </row>
    <row r="22" spans="1:12" ht="15" customHeight="1" x14ac:dyDescent="0.45">
      <c r="A22" t="s">
        <v>165</v>
      </c>
      <c r="B22" t="str">
        <f>'Confined Space'!A44</f>
        <v>CS-21</v>
      </c>
      <c r="C22" t="str">
        <f>'Confined Space'!B44</f>
        <v>Rescue Operations and Equipment</v>
      </c>
      <c r="D22" t="str">
        <f>'Confined Space'!C44</f>
        <v>If the employer uses on-site employees for rescue, those rescue employees must: (1) Be provided with and trained in the use of PPE and rescue equipment required for the space, at no cost to the employee; (2) Be trained to perform assigned rescue duties, including first aid and CPR; (3) Practice making permit space rescues at least once every 12 months, using a representative permit space (actual space or mockup with similar hazards and entry/exit conditions).</v>
      </c>
      <c r="E22" t="str">
        <f>'Confined Space'!E44</f>
        <v>Very High</v>
      </c>
      <c r="F22">
        <f>'Confined Space'!F44</f>
        <v>0</v>
      </c>
      <c r="G22">
        <f>'Confined Space'!G44</f>
        <v>8</v>
      </c>
      <c r="H22">
        <f>'Confined Space'!H44</f>
        <v>0</v>
      </c>
      <c r="I22">
        <f>'Confined Space'!I44</f>
        <v>0</v>
      </c>
      <c r="J22" t="str">
        <f>'Confined Space'!J44</f>
        <v>29 CFR 1910.146(k)(2)</v>
      </c>
      <c r="K22">
        <f>IF('Confined Space'!E44="Very High",5,IF('Confined Space'!E44="High",4,IF('Confined Space'!E44="Moderate",3,IF('Confined Space'!E44="Low",2,IF('Confined Space'!E44="Observation",1,0)))))</f>
        <v>5</v>
      </c>
      <c r="L22">
        <f>'Confined Space'!K44</f>
        <v>0</v>
      </c>
    </row>
    <row r="23" spans="1:12" ht="15" customHeight="1" x14ac:dyDescent="0.45">
      <c r="A23" t="s">
        <v>165</v>
      </c>
      <c r="B23" t="str">
        <f>'Confined Space'!A45</f>
        <v>CS-22</v>
      </c>
      <c r="C23" t="str">
        <f>'Confined Space'!B45</f>
        <v>Rescue Operations and Equipment</v>
      </c>
      <c r="D23" t="str">
        <f>'Confined Space'!C45</f>
        <v>Retrieval equipment must be used whenever an authorized entrant enters a permit space, unless the retrieval equipment would increase the overall risk of entry or would not contribute to the rescue. Retrieval systems must include: (1) Each authorized entrant uses a chest or full body harness with a retrieval line attached to the center ring or wrist straps; (2) The other end of the retrieval line is attached to a mechanical device or fixed point outside the space; (3) A mechanical device capable of retrieving the entrant from vertical entry spaces more than 5 feet deep.</v>
      </c>
      <c r="E23" t="str">
        <f>'Confined Space'!E45</f>
        <v>Not Applicable</v>
      </c>
      <c r="F23">
        <f>'Confined Space'!F45</f>
        <v>0</v>
      </c>
      <c r="G23">
        <f>'Confined Space'!G45</f>
        <v>8</v>
      </c>
      <c r="H23">
        <f>'Confined Space'!H45</f>
        <v>0</v>
      </c>
      <c r="I23">
        <f>'Confined Space'!I45</f>
        <v>0</v>
      </c>
      <c r="J23" t="str">
        <f>'Confined Space'!J45</f>
        <v>29 CFR 1910.146(k)(3)</v>
      </c>
      <c r="K23">
        <f>IF('Confined Space'!E45="Very High",5,IF('Confined Space'!E45="High",4,IF('Confined Space'!E45="Moderate",3,IF('Confined Space'!E45="Low",2,IF('Confined Space'!E45="Observation",1,0)))))</f>
        <v>0</v>
      </c>
      <c r="L23">
        <f>'Confined Space'!K45</f>
        <v>0</v>
      </c>
    </row>
    <row r="24" spans="1:12" ht="15" customHeight="1" x14ac:dyDescent="0.45">
      <c r="A24" t="s">
        <v>165</v>
      </c>
      <c r="B24" t="str">
        <f>'Confined Space'!A46</f>
        <v>CS-23</v>
      </c>
      <c r="C24" t="str">
        <f>'Confined Space'!B46</f>
        <v>Rescue Operations and Equipment</v>
      </c>
      <c r="D24" t="str">
        <f>'Confined Space'!C46</f>
        <v>Pertinent safety data sheets (SDSs) or other written information regarding the hazards of chemicals in the permit space must be made available to the medical facility treating exposed entrants at the time of emergency response.</v>
      </c>
      <c r="E24" t="str">
        <f>'Confined Space'!E46</f>
        <v>Best Practice</v>
      </c>
      <c r="F24">
        <f>'Confined Space'!F46</f>
        <v>6</v>
      </c>
      <c r="G24">
        <f>'Confined Space'!G46</f>
        <v>6</v>
      </c>
      <c r="H24">
        <f>'Confined Space'!H46</f>
        <v>0</v>
      </c>
      <c r="I24">
        <f>'Confined Space'!I46</f>
        <v>0</v>
      </c>
      <c r="J24" t="str">
        <f>'Confined Space'!J46</f>
        <v>29 CFR 1910.146(k)(4)</v>
      </c>
      <c r="K24">
        <f>IF('Confined Space'!E46="Very High",5,IF('Confined Space'!E46="High",4,IF('Confined Space'!E46="Moderate",3,IF('Confined Space'!E46="Low",2,IF('Confined Space'!E46="Observation",1,0)))))</f>
        <v>0</v>
      </c>
      <c r="L24">
        <f>'Confined Space'!K46</f>
        <v>0</v>
      </c>
    </row>
    <row r="25" spans="1:12" ht="15" customHeight="1" x14ac:dyDescent="0.45">
      <c r="A25" t="s">
        <v>165</v>
      </c>
      <c r="B25" t="str">
        <f>'Confined Space'!A48</f>
        <v>CS-24</v>
      </c>
      <c r="C25" t="str">
        <f>'Confined Space'!B48</f>
        <v>Program Review</v>
      </c>
      <c r="D25" t="str">
        <f>'Confined Space'!C48</f>
        <v>The PRCS program must be reviewed within 1 year after each entry and whenever the employer has reason to believe the measures in the program may not protect employees adequately. The review must use canceled entry permits as input. If deficiencies are identified, the program must be revised before employees next enter the permit space.</v>
      </c>
      <c r="E25" t="str">
        <f>'Confined Space'!E48</f>
        <v>Verified</v>
      </c>
      <c r="F25">
        <f>'Confined Space'!F48</f>
        <v>8</v>
      </c>
      <c r="G25">
        <f>'Confined Space'!G48</f>
        <v>8</v>
      </c>
      <c r="H25">
        <f>'Confined Space'!H48</f>
        <v>0</v>
      </c>
      <c r="I25">
        <f>'Confined Space'!I48</f>
        <v>0</v>
      </c>
      <c r="J25" t="str">
        <f>'Confined Space'!J48</f>
        <v>29 CFR 1910.146(d)(13)-(d)(14)</v>
      </c>
      <c r="K25">
        <f>IF('Confined Space'!E48="Very High",5,IF('Confined Space'!E48="High",4,IF('Confined Space'!E48="Moderate",3,IF('Confined Space'!E48="Low",2,IF('Confined Space'!E48="Observation",1,0)))))</f>
        <v>0</v>
      </c>
      <c r="L25">
        <f>'Confined Space'!K48</f>
        <v>0</v>
      </c>
    </row>
    <row r="26" spans="1:12" ht="15" customHeight="1" x14ac:dyDescent="0.45">
      <c r="A26" t="s">
        <v>102</v>
      </c>
      <c r="B26" t="str">
        <f>PPE!A19</f>
        <v>PP-1</v>
      </c>
      <c r="C26" t="str">
        <f>PPE!B19</f>
        <v>General PPE Requirements</v>
      </c>
      <c r="D26" t="str">
        <f>PPE!C19</f>
        <v>The employer must assess the workplace to determine if hazards are present that necessitate PPE. Where required, PPE must be provided, maintained in a safe and reliable condition, and used by employees. PPE must not be defective or damaged.</v>
      </c>
      <c r="E26" t="str">
        <f>PPE!E19</f>
        <v>Select rating</v>
      </c>
      <c r="F26">
        <f>PPE!F19</f>
        <v>0</v>
      </c>
      <c r="G26">
        <f>PPE!G19</f>
        <v>10</v>
      </c>
      <c r="H26">
        <f>PPE!H19</f>
        <v>0</v>
      </c>
      <c r="I26">
        <f>PPE!I19</f>
        <v>0</v>
      </c>
      <c r="J26" t="str">
        <f>PPE!J19</f>
        <v>29 CFR 1910.132(a),(c),(e)</v>
      </c>
      <c r="K26">
        <f>IF(PPE!E19="Very High",5,IF(PPE!E19="High",4,IF(PPE!E19="Moderate",3,IF(PPE!E19="Low",2,IF(PPE!E19="Observation",1,0)))))</f>
        <v>0</v>
      </c>
      <c r="L26">
        <f>PPE!K19</f>
        <v>0</v>
      </c>
    </row>
    <row r="27" spans="1:12" ht="15" customHeight="1" x14ac:dyDescent="0.45">
      <c r="A27" t="s">
        <v>102</v>
      </c>
      <c r="B27" t="str">
        <f>PPE!A20</f>
        <v>PP-2</v>
      </c>
      <c r="C27" t="str">
        <f>PPE!B20</f>
        <v>General PPE Requirements</v>
      </c>
      <c r="D27" t="str">
        <f>PPE!C20</f>
        <v>The employer must pay for required PPE — with the following exceptions where employees may be required to provide their own: (1) non-specialty safety-toe footwear (if worn off the job), (2) non-specialty prescription safety eyewear (if worn off the job), (3) logging boots, (4) ordinary clothing, skin creams, or other items used solely for protection from weather.</v>
      </c>
      <c r="E27" t="str">
        <f>PPE!E20</f>
        <v>Select rating</v>
      </c>
      <c r="F27">
        <f>PPE!F20</f>
        <v>0</v>
      </c>
      <c r="G27">
        <f>PPE!G20</f>
        <v>6</v>
      </c>
      <c r="H27">
        <f>PPE!H20</f>
        <v>0</v>
      </c>
      <c r="I27">
        <f>PPE!I20</f>
        <v>0</v>
      </c>
      <c r="J27" t="str">
        <f>PPE!J20</f>
        <v>29 CFR 1910.132(h)</v>
      </c>
      <c r="K27">
        <f>IF(PPE!E20="Very High",5,IF(PPE!E20="High",4,IF(PPE!E20="Moderate",3,IF(PPE!E20="Low",2,IF(PPE!E20="Observation",1,0)))))</f>
        <v>0</v>
      </c>
      <c r="L27">
        <f>PPE!K20</f>
        <v>0</v>
      </c>
    </row>
    <row r="28" spans="1:12" ht="15" customHeight="1" x14ac:dyDescent="0.45">
      <c r="A28" t="s">
        <v>102</v>
      </c>
      <c r="B28" t="str">
        <f>PPE!A21</f>
        <v>PP-3</v>
      </c>
      <c r="C28" t="str">
        <f>PPE!B21</f>
        <v>General PPE Requirements</v>
      </c>
      <c r="D28" t="str">
        <f>PPE!C21</f>
        <v>Where employees provide their own PPE, the employer must ensure the equipment is adequate to protect the employee. The employer must be responsible for the adequacy of such equipment, including maintenance and sanitation.</v>
      </c>
      <c r="E28" t="str">
        <f>PPE!E21</f>
        <v>Select rating</v>
      </c>
      <c r="F28">
        <f>PPE!F21</f>
        <v>0</v>
      </c>
      <c r="G28">
        <f>PPE!G21</f>
        <v>4</v>
      </c>
      <c r="H28">
        <f>PPE!H21</f>
        <v>0</v>
      </c>
      <c r="I28">
        <f>PPE!I21</f>
        <v>0</v>
      </c>
      <c r="J28" t="str">
        <f>PPE!J21</f>
        <v>29 CFR 1910.132(b)</v>
      </c>
      <c r="K28">
        <f>IF(PPE!E21="Very High",5,IF(PPE!E21="High",4,IF(PPE!E21="Moderate",3,IF(PPE!E21="Low",2,IF(PPE!E21="Observation",1,0)))))</f>
        <v>0</v>
      </c>
      <c r="L28">
        <f>PPE!K21</f>
        <v>0</v>
      </c>
    </row>
    <row r="29" spans="1:12" ht="15" customHeight="1" x14ac:dyDescent="0.45">
      <c r="A29" t="s">
        <v>102</v>
      </c>
      <c r="B29" t="str">
        <f>PPE!A22</f>
        <v>PP-4</v>
      </c>
      <c r="C29" t="str">
        <f>PPE!B22</f>
        <v>General PPE Requirements</v>
      </c>
      <c r="D29" t="str">
        <f>PPE!C22</f>
        <v>The employer must assess the workplace to determine PPE needs and certify that the assessment was performed. The written hazard assessment certification must identify: (1) the workplace evaluated; (2) the name of the person certifying the evaluation was performed; (3) the date of the hazard assessment; and (4) a statement that the document identifies it as a certification of hazard assessment.</v>
      </c>
      <c r="E29" t="str">
        <f>PPE!E22</f>
        <v>Select rating</v>
      </c>
      <c r="F29">
        <f>PPE!F22</f>
        <v>0</v>
      </c>
      <c r="G29">
        <f>PPE!G22</f>
        <v>10</v>
      </c>
      <c r="H29">
        <f>PPE!H22</f>
        <v>0</v>
      </c>
      <c r="I29">
        <f>PPE!I22</f>
        <v>0</v>
      </c>
      <c r="J29" t="str">
        <f>PPE!J22</f>
        <v>29 CFR 1910.132(d)</v>
      </c>
      <c r="K29">
        <f>IF(PPE!E22="Very High",5,IF(PPE!E22="High",4,IF(PPE!E22="Moderate",3,IF(PPE!E22="Low",2,IF(PPE!E22="Observation",1,0)))))</f>
        <v>0</v>
      </c>
      <c r="L29">
        <f>PPE!K22</f>
        <v>0</v>
      </c>
    </row>
    <row r="30" spans="1:12" ht="15" customHeight="1" x14ac:dyDescent="0.45">
      <c r="A30" t="s">
        <v>102</v>
      </c>
      <c r="B30" t="str">
        <f>PPE!A23</f>
        <v>PP-5</v>
      </c>
      <c r="C30" t="str">
        <f>PPE!B23</f>
        <v>General PPE Requirements</v>
      </c>
      <c r="D30" t="str">
        <f>PPE!C23</f>
        <v>The employer must provide training to each employee required to use PPE. Training must cover: (1) when PPE is necessary; (2) what PPE is necessary; (3) how to properly don (put on), doff (remove), adjust, and wear PPE; (4) limitations of PPE; (5) proper care, maintenance, useful life, and disposal of PPE. Employees who demonstrate inadequate understanding must be retrained.</v>
      </c>
      <c r="E30" t="str">
        <f>PPE!E23</f>
        <v>Select rating</v>
      </c>
      <c r="F30">
        <f>PPE!F23</f>
        <v>0</v>
      </c>
      <c r="G30">
        <f>PPE!G23</f>
        <v>10</v>
      </c>
      <c r="H30">
        <f>PPE!H23</f>
        <v>0</v>
      </c>
      <c r="I30">
        <f>PPE!I23</f>
        <v>0</v>
      </c>
      <c r="J30" t="str">
        <f>PPE!J23</f>
        <v>29 CFR 1910.132(f)</v>
      </c>
      <c r="K30">
        <f>IF(PPE!E23="Very High",5,IF(PPE!E23="High",4,IF(PPE!E23="Moderate",3,IF(PPE!E23="Low",2,IF(PPE!E23="Observation",1,0)))))</f>
        <v>0</v>
      </c>
      <c r="L30">
        <f>PPE!K23</f>
        <v>0</v>
      </c>
    </row>
    <row r="31" spans="1:12" ht="15" customHeight="1" x14ac:dyDescent="0.45">
      <c r="A31" t="s">
        <v>102</v>
      </c>
      <c r="B31" t="str">
        <f>PPE!A25</f>
        <v>PP-6</v>
      </c>
      <c r="C31" t="str">
        <f>PPE!B25</f>
        <v>Eye and Face Protection</v>
      </c>
      <c r="D31" t="str">
        <f>PPE!C25</f>
        <v>Each affected employee must use appropriate eye or face protection when exposed to eye or face hazards. Hazard types requiring protection include: (1) flying particles — safety glasses with side shields or goggles; (2) molten metal — goggles or face shield; (3) liquid chemicals — chemical splash goggles; (4) acid/caustic liquids — splash goggles with face shield; (5) chemical gases/vapors — chemical splash goggles; (6) injurious light radiation — filter lenses with appropriate shade number; (7) lasers — laser safety eyewear. Employees who wear prescription lenses must wear either prescription safety eyewear or safety eyewear designed to fit over their corrective lenses.</v>
      </c>
      <c r="E31" t="str">
        <f>PPE!E25</f>
        <v>Select rating</v>
      </c>
      <c r="F31">
        <f>PPE!F25</f>
        <v>0</v>
      </c>
      <c r="G31">
        <f>PPE!G25</f>
        <v>8</v>
      </c>
      <c r="H31">
        <f>PPE!H25</f>
        <v>0</v>
      </c>
      <c r="I31">
        <f>PPE!I25</f>
        <v>0</v>
      </c>
      <c r="J31" t="str">
        <f>PPE!J25</f>
        <v>29 CFR 1910.133(a)</v>
      </c>
      <c r="K31">
        <f>IF(PPE!E25="Very High",5,IF(PPE!E25="High",4,IF(PPE!E25="Moderate",3,IF(PPE!E25="Low",2,IF(PPE!E25="Observation",1,0)))))</f>
        <v>0</v>
      </c>
      <c r="L31">
        <f>PPE!K25</f>
        <v>0</v>
      </c>
    </row>
    <row r="32" spans="1:12" ht="15" customHeight="1" x14ac:dyDescent="0.45">
      <c r="A32" t="s">
        <v>102</v>
      </c>
      <c r="B32" t="str">
        <f>PPE!A26</f>
        <v>PP-7</v>
      </c>
      <c r="C32" t="str">
        <f>PPE!B26</f>
        <v>Eye and Face Protection</v>
      </c>
      <c r="D32" t="str">
        <f>PPE!C26</f>
        <v>Protective eye and face devices must meet the requirements of ANSI/ISEA Z87.1 — American National Standard Practice for Occupational and Educational Eye and Face Protection. All eye and face protection devices must be marked by the manufacturer with the appropriate ANSI designation.</v>
      </c>
      <c r="E32" t="str">
        <f>PPE!E26</f>
        <v>Select rating</v>
      </c>
      <c r="F32">
        <f>PPE!F26</f>
        <v>0</v>
      </c>
      <c r="G32">
        <f>PPE!G26</f>
        <v>6</v>
      </c>
      <c r="H32">
        <f>PPE!H26</f>
        <v>0</v>
      </c>
      <c r="I32">
        <f>PPE!I26</f>
        <v>0</v>
      </c>
      <c r="J32" t="str">
        <f>PPE!J26</f>
        <v>29 CFR 1910.133(b)</v>
      </c>
      <c r="K32">
        <f>IF(PPE!E26="Very High",5,IF(PPE!E26="High",4,IF(PPE!E26="Moderate",3,IF(PPE!E26="Low",2,IF(PPE!E26="Observation",1,0)))))</f>
        <v>0</v>
      </c>
      <c r="L32">
        <f>PPE!K26</f>
        <v>0</v>
      </c>
    </row>
    <row r="33" spans="1:12" ht="15" customHeight="1" x14ac:dyDescent="0.45">
      <c r="A33" t="s">
        <v>102</v>
      </c>
      <c r="B33" t="str">
        <f>PPE!A27</f>
        <v>PP-8</v>
      </c>
      <c r="C33" t="str">
        <f>PPE!B27</f>
        <v>Eye and Face Protection</v>
      </c>
      <c r="D33" t="str">
        <f>PPE!C27</f>
        <v>Filter lenses and plates must meet ANSI requirements. For protection against radiant energy (welding, brazing, cutting), lenses must have a shade number appropriate for the specific process. Shade number guidance: Shielded metal arc welding (SMAW) at 10-500 amps = Shade 10-14; MIG/MAG welding = Shade 10-13; gas welding/brazing = Shade 4-8; oxygen cutting = Shade 3-6; plasma arc welding = Shade 6-14.</v>
      </c>
      <c r="E33" t="str">
        <f>PPE!E27</f>
        <v>Select rating</v>
      </c>
      <c r="F33">
        <f>PPE!F27</f>
        <v>0</v>
      </c>
      <c r="G33">
        <f>PPE!G27</f>
        <v>6</v>
      </c>
      <c r="H33">
        <f>PPE!H27</f>
        <v>0</v>
      </c>
      <c r="I33">
        <f>PPE!I27</f>
        <v>0</v>
      </c>
      <c r="J33" t="str">
        <f>PPE!J27</f>
        <v>29 CFR 1910.133(a)(5)</v>
      </c>
      <c r="K33">
        <f>IF(PPE!E27="Very High",5,IF(PPE!E27="High",4,IF(PPE!E27="Moderate",3,IF(PPE!E27="Low",2,IF(PPE!E27="Observation",1,0)))))</f>
        <v>0</v>
      </c>
      <c r="L33">
        <f>PPE!K27</f>
        <v>0</v>
      </c>
    </row>
    <row r="34" spans="1:12" ht="15" customHeight="1" x14ac:dyDescent="0.45">
      <c r="A34" t="s">
        <v>102</v>
      </c>
      <c r="B34" t="str">
        <f>PPE!A29</f>
        <v>PP-9</v>
      </c>
      <c r="C34" t="str">
        <f>PPE!B29</f>
        <v>Head Protection</v>
      </c>
      <c r="D34" t="str">
        <f>PPE!C29</f>
        <v>Each affected employee must wear a protective helmet when working in areas posing a risk of head injury from: (1) falling or flying objects; (2) bumping the head against fixed objects (low clearance, protruding equipment); (3) electrical shock/burns. Hard hats must be worn with the bill facing forward unless the manufacturer specifically certifies the helmet for reverse use while maintaining the required protection class.</v>
      </c>
      <c r="E34" t="str">
        <f>PPE!E29</f>
        <v>Select rating</v>
      </c>
      <c r="F34">
        <f>PPE!F29</f>
        <v>0</v>
      </c>
      <c r="G34">
        <f>PPE!G29</f>
        <v>8</v>
      </c>
      <c r="H34">
        <f>PPE!H29</f>
        <v>0</v>
      </c>
      <c r="I34">
        <f>PPE!I29</f>
        <v>0</v>
      </c>
      <c r="J34" t="str">
        <f>PPE!J29</f>
        <v>29 CFR 1910.135(a)(1)-(a)(2)</v>
      </c>
      <c r="K34">
        <f>IF(PPE!E29="Very High",5,IF(PPE!E29="High",4,IF(PPE!E29="Moderate",3,IF(PPE!E29="Low",2,IF(PPE!E29="Observation",1,0)))))</f>
        <v>0</v>
      </c>
      <c r="L34">
        <f>PPE!K29</f>
        <v>0</v>
      </c>
    </row>
    <row r="35" spans="1:12" ht="15" customHeight="1" x14ac:dyDescent="0.45">
      <c r="A35" t="s">
        <v>102</v>
      </c>
      <c r="B35" t="str">
        <f>PPE!A30</f>
        <v>PP-10</v>
      </c>
      <c r="C35" t="str">
        <f>PPE!B30</f>
        <v>Head Protection</v>
      </c>
      <c r="D35" t="str">
        <f>PPE!C30</f>
        <v>Head protection must meet ANSI/ISEA Z89.1 criteria. Hard hats are classified by type and class: Type I protects the top of the head; Type II protects the top and sides. Classes: Class E (electrical, rated to 20,000 volts); Class G (general, rated to 2,200 volts); Class C (conductive, no electrical protection). Facilities with electrical hazards must use Class E helmets in electrical work areas.</v>
      </c>
      <c r="E35" t="str">
        <f>PPE!E30</f>
        <v>Select rating</v>
      </c>
      <c r="F35">
        <f>PPE!F30</f>
        <v>0</v>
      </c>
      <c r="G35">
        <f>PPE!G30</f>
        <v>6</v>
      </c>
      <c r="H35">
        <f>PPE!H30</f>
        <v>0</v>
      </c>
      <c r="I35">
        <f>PPE!I30</f>
        <v>0</v>
      </c>
      <c r="J35" t="str">
        <f>PPE!J30</f>
        <v>29 CFR 1910.135(b)</v>
      </c>
      <c r="K35">
        <f>IF(PPE!E30="Very High",5,IF(PPE!E30="High",4,IF(PPE!E30="Moderate",3,IF(PPE!E30="Low",2,IF(PPE!E30="Observation",1,0)))))</f>
        <v>0</v>
      </c>
      <c r="L35">
        <f>PPE!K30</f>
        <v>0</v>
      </c>
    </row>
    <row r="36" spans="1:12" ht="15" customHeight="1" x14ac:dyDescent="0.45">
      <c r="A36" t="s">
        <v>102</v>
      </c>
      <c r="B36" t="str">
        <f>PPE!A32</f>
        <v>PP-11</v>
      </c>
      <c r="C36" t="str">
        <f>PPE!B32</f>
        <v>Foot Protection</v>
      </c>
      <c r="D36" t="str">
        <f>PPE!C32</f>
        <v>Protective footwear must be worn by employees working in areas where there is a danger of: (1) foot injuries from falling or rolling objects; (2) foot injuries from objects piercing the sole; (3) foot injuries from electrical hazards. Safety footwear selection must match the hazard type (impact, compression, metatarsal, electrical hazard, puncture resistance).</v>
      </c>
      <c r="E36" t="str">
        <f>PPE!E32</f>
        <v>Select rating</v>
      </c>
      <c r="F36">
        <f>PPE!F32</f>
        <v>0</v>
      </c>
      <c r="G36">
        <f>PPE!G32</f>
        <v>8</v>
      </c>
      <c r="H36">
        <f>PPE!H32</f>
        <v>0</v>
      </c>
      <c r="I36">
        <f>PPE!I32</f>
        <v>0</v>
      </c>
      <c r="J36" t="str">
        <f>PPE!J32</f>
        <v>29 CFR 1910.136(a)</v>
      </c>
      <c r="K36">
        <f>IF(PPE!E32="Very High",5,IF(PPE!E32="High",4,IF(PPE!E32="Moderate",3,IF(PPE!E32="Low",2,IF(PPE!E32="Observation",1,0)))))</f>
        <v>0</v>
      </c>
      <c r="L36">
        <f>PPE!K32</f>
        <v>0</v>
      </c>
    </row>
    <row r="37" spans="1:12" ht="15" customHeight="1" x14ac:dyDescent="0.45">
      <c r="A37" t="s">
        <v>102</v>
      </c>
      <c r="B37" t="str">
        <f>PPE!A33</f>
        <v>PP-12</v>
      </c>
      <c r="C37" t="str">
        <f>PPE!B33</f>
        <v>Foot Protection</v>
      </c>
      <c r="D37" t="str">
        <f>PPE!C33</f>
        <v>Protective footwear must meet ASTM F2412 (test methods) and ASTM F2413 (performance requirements), or the previous ANSI Z41 standard for footwear procured before the ASTM standard's adoption. Required markings on the label: ASTM designation; protection class (I/75 for impact, C/75 for compression, EH for electrical hazard, PR for puncture resistant, MT/75 for metatarsal).</v>
      </c>
      <c r="E37" t="str">
        <f>PPE!E33</f>
        <v>Select rating</v>
      </c>
      <c r="F37">
        <f>PPE!F33</f>
        <v>0</v>
      </c>
      <c r="G37">
        <f>PPE!G33</f>
        <v>5</v>
      </c>
      <c r="H37">
        <f>PPE!H33</f>
        <v>0</v>
      </c>
      <c r="I37">
        <f>PPE!I33</f>
        <v>0</v>
      </c>
      <c r="J37" t="str">
        <f>PPE!J33</f>
        <v>29 CFR 1910.136(b)</v>
      </c>
      <c r="K37">
        <f>IF(PPE!E33="Very High",5,IF(PPE!E33="High",4,IF(PPE!E33="Moderate",3,IF(PPE!E33="Low",2,IF(PPE!E33="Observation",1,0)))))</f>
        <v>0</v>
      </c>
      <c r="L37">
        <f>PPE!K33</f>
        <v>0</v>
      </c>
    </row>
    <row r="38" spans="1:12" ht="15" customHeight="1" x14ac:dyDescent="0.45">
      <c r="A38" t="s">
        <v>102</v>
      </c>
      <c r="B38" t="str">
        <f>PPE!A35</f>
        <v>PP-13</v>
      </c>
      <c r="C38" t="str">
        <f>PPE!B35</f>
        <v>Electrical Protective Equipment</v>
      </c>
      <c r="D38" t="str">
        <f>PPE!C35</f>
        <v>Insulating blankets, matting, covers, line hoses, gloves, and sleeves made of rubber must meet ASTM design requirements. Each piece must be marked with the voltage class for which it provides protection. Classes: 00 (max use voltage 500V AC), 0 (1000V), 1 (7,500V), 2 (17,000V), 3 (26,500V), 4 (36,000V). Other types of electrical protective equipment must also meet applicable ASTM standards.</v>
      </c>
      <c r="E38" t="str">
        <f>PPE!E35</f>
        <v>Select rating</v>
      </c>
      <c r="F38">
        <f>PPE!F35</f>
        <v>0</v>
      </c>
      <c r="G38">
        <f>PPE!G35</f>
        <v>6</v>
      </c>
      <c r="H38">
        <f>PPE!H35</f>
        <v>0</v>
      </c>
      <c r="I38">
        <f>PPE!I35</f>
        <v>0</v>
      </c>
      <c r="J38" t="str">
        <f>PPE!J35</f>
        <v>29 CFR 1910.137(a)(1),(b)</v>
      </c>
      <c r="K38">
        <f>IF(PPE!E35="Very High",5,IF(PPE!E35="High",4,IF(PPE!E35="Moderate",3,IF(PPE!E35="Low",2,IF(PPE!E35="Observation",1,0)))))</f>
        <v>0</v>
      </c>
      <c r="L38">
        <f>PPE!K35</f>
        <v>0</v>
      </c>
    </row>
    <row r="39" spans="1:12" ht="15" customHeight="1" x14ac:dyDescent="0.45">
      <c r="A39" t="s">
        <v>102</v>
      </c>
      <c r="B39" t="str">
        <f>PPE!A36</f>
        <v>PP-14</v>
      </c>
      <c r="C39" t="str">
        <f>PPE!B36</f>
        <v>Electrical Protective Equipment</v>
      </c>
      <c r="D39" t="str">
        <f>PPE!C36</f>
        <v>Electrical protective equipment must be maintained in a safe, reliable condition. Rubber insulating equipment must be inspected before each day's use and immediately following an incident that may have caused damage. Rubber insulating equipment must be tested at regular intervals as follows: gloves and sleeves — every 6 months; blankets, covers, and line hoses — every 12 months. Equipment that fails inspection or testing must be immediately removed from service.</v>
      </c>
      <c r="E39" t="str">
        <f>PPE!E36</f>
        <v>Select rating</v>
      </c>
      <c r="F39">
        <f>PPE!F36</f>
        <v>0</v>
      </c>
      <c r="G39">
        <f>PPE!G36</f>
        <v>8</v>
      </c>
      <c r="H39">
        <f>PPE!H36</f>
        <v>0</v>
      </c>
      <c r="I39">
        <f>PPE!I36</f>
        <v>0</v>
      </c>
      <c r="J39" t="str">
        <f>PPE!J36</f>
        <v>29 CFR 1910.137(b)(1)-(b)(2)(iii),(c)</v>
      </c>
      <c r="K39">
        <f>IF(PPE!E36="Very High",5,IF(PPE!E36="High",4,IF(PPE!E36="Moderate",3,IF(PPE!E36="Low",2,IF(PPE!E36="Observation",1,0)))))</f>
        <v>0</v>
      </c>
      <c r="L39">
        <f>PPE!K36</f>
        <v>0</v>
      </c>
    </row>
    <row r="40" spans="1:12" ht="15" customHeight="1" x14ac:dyDescent="0.45">
      <c r="A40" t="s">
        <v>102</v>
      </c>
      <c r="B40" t="str">
        <f>PPE!A38</f>
        <v>PP-15</v>
      </c>
      <c r="C40" t="str">
        <f>PPE!B38</f>
        <v>Hand Protection</v>
      </c>
      <c r="D40" t="str">
        <f>PPE!C38</f>
        <v>Employers must select and require employees to use appropriate hand protection when hands are exposed to: (1) skin absorption of harmful substances; (2) severe cuts or lacerations; (3) severe abrasions; (4) punctures; (5) chemical burns; (6) thermal burns; (7) harmful temperature extremes. Glove selection must be based on the specific chemical or physical hazard — a single glove material does not protect against all chemicals.</v>
      </c>
      <c r="E40" t="str">
        <f>PPE!E38</f>
        <v>Select rating</v>
      </c>
      <c r="F40">
        <f>PPE!F38</f>
        <v>0</v>
      </c>
      <c r="G40">
        <f>PPE!G38</f>
        <v>8</v>
      </c>
      <c r="H40">
        <f>PPE!H38</f>
        <v>0</v>
      </c>
      <c r="I40">
        <f>PPE!I38</f>
        <v>0</v>
      </c>
      <c r="J40" t="str">
        <f>PPE!J38</f>
        <v>29 CFR 1910.138</v>
      </c>
      <c r="K40">
        <f>IF(PPE!E38="Very High",5,IF(PPE!E38="High",4,IF(PPE!E38="Moderate",3,IF(PPE!E38="Low",2,IF(PPE!E38="Observation",1,0)))))</f>
        <v>0</v>
      </c>
      <c r="L40">
        <f>PPE!K38</f>
        <v>0</v>
      </c>
    </row>
    <row r="41" spans="1:12" ht="15" customHeight="1" x14ac:dyDescent="0.45">
      <c r="A41" t="s">
        <v>102</v>
      </c>
      <c r="B41" t="str">
        <f>PPE!A40</f>
        <v>PP-16</v>
      </c>
      <c r="C41" t="str">
        <f>PPE!B40</f>
        <v>Respiratory Protection</v>
      </c>
      <c r="D41" t="str">
        <f>PPE!C40</f>
        <v>Where respirators are necessary or required, a written respiratory protection program must be implemented containing ALL 9 required elements per 29 CFR 1910.134(c)(1). See Evidence column checklist.</v>
      </c>
      <c r="E41" t="str">
        <f>PPE!E40</f>
        <v>Select rating</v>
      </c>
      <c r="F41">
        <f>PPE!F40</f>
        <v>0</v>
      </c>
      <c r="G41">
        <f>PPE!G40</f>
        <v>10</v>
      </c>
      <c r="H41">
        <f>PPE!H40</f>
        <v>0</v>
      </c>
      <c r="I41">
        <f>PPE!I40</f>
        <v>0</v>
      </c>
      <c r="J41" t="str">
        <f>PPE!J40</f>
        <v>29 CFR 1910.134(a)(2),(c)(1),(c)(3)</v>
      </c>
      <c r="K41">
        <f>IF(PPE!E40="Very High",5,IF(PPE!E40="High",4,IF(PPE!E40="Moderate",3,IF(PPE!E40="Low",2,IF(PPE!E40="Observation",1,0)))))</f>
        <v>0</v>
      </c>
      <c r="L41">
        <f>PPE!K40</f>
        <v>0</v>
      </c>
    </row>
    <row r="42" spans="1:12" ht="15" customHeight="1" x14ac:dyDescent="0.45">
      <c r="A42" t="s">
        <v>102</v>
      </c>
      <c r="B42" t="str">
        <f>PPE!A41</f>
        <v>PP-17</v>
      </c>
      <c r="C42" t="str">
        <f>PPE!B41</f>
        <v>Respiratory Protection</v>
      </c>
      <c r="D42" t="str">
        <f>PPE!C41</f>
        <v>Respirators, training, and medical evaluations must be provided at no cost to employees required to use them.</v>
      </c>
      <c r="E42" t="str">
        <f>PPE!E41</f>
        <v>Select rating</v>
      </c>
      <c r="F42">
        <f>PPE!F41</f>
        <v>0</v>
      </c>
      <c r="G42">
        <f>PPE!G41</f>
        <v>5</v>
      </c>
      <c r="H42">
        <f>PPE!H41</f>
        <v>0</v>
      </c>
      <c r="I42">
        <f>PPE!I41</f>
        <v>0</v>
      </c>
      <c r="J42" t="str">
        <f>PPE!J41</f>
        <v>29 CFR 1910.134(c)(4)</v>
      </c>
      <c r="K42">
        <f>IF(PPE!E41="Very High",5,IF(PPE!E41="High",4,IF(PPE!E41="Moderate",3,IF(PPE!E41="Low",2,IF(PPE!E41="Observation",1,0)))))</f>
        <v>0</v>
      </c>
      <c r="L42">
        <f>PPE!K41</f>
        <v>0</v>
      </c>
    </row>
    <row r="43" spans="1:12" ht="15" customHeight="1" x14ac:dyDescent="0.45">
      <c r="A43" t="s">
        <v>102</v>
      </c>
      <c r="B43" t="str">
        <f>PPE!A42</f>
        <v>PP-18</v>
      </c>
      <c r="C43" t="str">
        <f>PPE!B42</f>
        <v>Respiratory Protection</v>
      </c>
      <c r="D43" t="str">
        <f>PPE!C42</f>
        <v>A medical evaluation must be completed before an employee is required to use a respirator, and before fit testing. The physician or licensed health care professional (PLHCP) must determine whether the employee is medically able to use the respirator. The medical questionnaire must be administered confidentially and results must not be shared with the employer without the employee's permission. Additional evaluations must be provided if: employee reports signs or symptoms related to respirator use; PLHCP, supervisor, or program administrator recommends it; information from the respirator program indicates a need; or fit testing shows difficulty using the respirator.</v>
      </c>
      <c r="E43" t="str">
        <f>PPE!E42</f>
        <v>Select rating</v>
      </c>
      <c r="F43">
        <f>PPE!F42</f>
        <v>0</v>
      </c>
      <c r="G43">
        <f>PPE!G42</f>
        <v>10</v>
      </c>
      <c r="H43">
        <f>PPE!H42</f>
        <v>0</v>
      </c>
      <c r="I43">
        <f>PPE!I42</f>
        <v>0</v>
      </c>
      <c r="J43" t="str">
        <f>PPE!J42</f>
        <v>29 CFR 1910.134(e)(1)-(e)(7)</v>
      </c>
      <c r="K43">
        <f>IF(PPE!E42="Very High",5,IF(PPE!E42="High",4,IF(PPE!E42="Moderate",3,IF(PPE!E42="Low",2,IF(PPE!E42="Observation",1,0)))))</f>
        <v>0</v>
      </c>
      <c r="L43">
        <f>PPE!K42</f>
        <v>0</v>
      </c>
    </row>
    <row r="44" spans="1:12" ht="15" customHeight="1" x14ac:dyDescent="0.45">
      <c r="A44" t="s">
        <v>102</v>
      </c>
      <c r="B44" t="str">
        <f>PPE!A43</f>
        <v>PP-19</v>
      </c>
      <c r="C44" t="str">
        <f>PPE!B43</f>
        <v>Respiratory Protection</v>
      </c>
      <c r="D44" t="str">
        <f>PPE!C43</f>
        <v>Before using a tight-fitting facepiece respirator, employees must pass a fit test with the same make, model, style, and size of respirator to be used on the job. Fit testing must be repeated: annually; when employees report changes in physical condition that could affect fit (significant weight gain/loss, dental work, facial scarring); and when the employer issues a different respirator facepiece. Both qualitative (QLFT) and quantitative (QNFT) fit test methods are acceptable for most respirators; QNFT is required for certain high-hazard respirator classes.</v>
      </c>
      <c r="E44" t="str">
        <f>PPE!E43</f>
        <v>Select rating</v>
      </c>
      <c r="F44">
        <f>PPE!F43</f>
        <v>0</v>
      </c>
      <c r="G44">
        <f>PPE!G43</f>
        <v>10</v>
      </c>
      <c r="H44">
        <f>PPE!H43</f>
        <v>0</v>
      </c>
      <c r="I44">
        <f>PPE!I43</f>
        <v>0</v>
      </c>
      <c r="J44" t="str">
        <f>PPE!J43</f>
        <v>29 CFR 1910.134(f)(1)-(f)(8)</v>
      </c>
      <c r="K44">
        <f>IF(PPE!E43="Very High",5,IF(PPE!E43="High",4,IF(PPE!E43="Moderate",3,IF(PPE!E43="Low",2,IF(PPE!E43="Observation",1,0)))))</f>
        <v>0</v>
      </c>
      <c r="L44">
        <f>PPE!K43</f>
        <v>0</v>
      </c>
    </row>
    <row r="45" spans="1:12" ht="15" customHeight="1" x14ac:dyDescent="0.45">
      <c r="A45" t="s">
        <v>102</v>
      </c>
      <c r="B45" t="str">
        <f>PPE!A44</f>
        <v>PP-20</v>
      </c>
      <c r="C45" t="str">
        <f>PPE!B44</f>
        <v>Respiratory Protection</v>
      </c>
      <c r="D45" t="str">
        <f>PPE!C44</f>
        <v>Procedures must be established and implemented to prevent facepiece seal leakage. Specifically: (1) No tight-fitting respirator shall be worn by employees who have facial hair that comes between the sealing surface of the facepiece and the face, or that interferes with valve function. (2) No tight-fitting respirator shall be worn by employees with any other condition that prevents a good face seal. (3) Each employee who wears a tight-fitting respirator must perform a user seal check immediately before each use using the positive and/or negative pressure check method.</v>
      </c>
      <c r="E45" t="str">
        <f>PPE!E44</f>
        <v>Select rating</v>
      </c>
      <c r="F45">
        <f>PPE!F44</f>
        <v>0</v>
      </c>
      <c r="G45">
        <f>PPE!G44</f>
        <v>8</v>
      </c>
      <c r="H45">
        <f>PPE!H44</f>
        <v>0</v>
      </c>
      <c r="I45">
        <f>PPE!I44</f>
        <v>0</v>
      </c>
      <c r="J45" t="str">
        <f>PPE!J44</f>
        <v>29 CFR 1910.134(g)(1)</v>
      </c>
      <c r="K45">
        <f>IF(PPE!E44="Very High",5,IF(PPE!E44="High",4,IF(PPE!E44="Moderate",3,IF(PPE!E44="Low",2,IF(PPE!E44="Observation",1,0)))))</f>
        <v>0</v>
      </c>
      <c r="L45">
        <f>PPE!K44</f>
        <v>0</v>
      </c>
    </row>
    <row r="46" spans="1:12" ht="15" customHeight="1" x14ac:dyDescent="0.45">
      <c r="A46" t="s">
        <v>102</v>
      </c>
      <c r="B46" t="str">
        <f>PPE!A45</f>
        <v>PP-21</v>
      </c>
      <c r="C46" t="str">
        <f>PPE!B45</f>
        <v>Respiratory Protection</v>
      </c>
      <c r="D46" t="str">
        <f>PPE!C45</f>
        <v>Respirators must be properly maintained: (1) Cleaned and disinfected as often as necessary to be maintained in a sanitary condition, and before being worn by a different person; (2) Stored in a clean, sanitary location to protect from damage, contamination, dust, sunlight, extreme temperature, excessive moisture, and damaging chemicals; (3) Inspected before each use and during cleaning, including checking respirator function, facepiece, head straps, valves, connecting tube, cartridges, canisters or filters, and any other applicable component with reference to the manufacturer's recommendations; (4) Defective respirators removed from service and discarded or repaired.</v>
      </c>
      <c r="E46" t="str">
        <f>PPE!E45</f>
        <v>Select rating</v>
      </c>
      <c r="F46">
        <f>PPE!F45</f>
        <v>0</v>
      </c>
      <c r="G46">
        <f>PPE!G45</f>
        <v>8</v>
      </c>
      <c r="H46">
        <f>PPE!H45</f>
        <v>0</v>
      </c>
      <c r="I46">
        <f>PPE!I45</f>
        <v>0</v>
      </c>
      <c r="J46" t="str">
        <f>PPE!J45</f>
        <v>29 CFR 1910.134(h)(1)-(h)(4)</v>
      </c>
      <c r="K46">
        <f>IF(PPE!E45="Very High",5,IF(PPE!E45="High",4,IF(PPE!E45="Moderate",3,IF(PPE!E45="Low",2,IF(PPE!E45="Observation",1,0)))))</f>
        <v>0</v>
      </c>
      <c r="L46">
        <f>PPE!K45</f>
        <v>0</v>
      </c>
    </row>
    <row r="47" spans="1:12" ht="15" customHeight="1" x14ac:dyDescent="0.45">
      <c r="A47" t="s">
        <v>102</v>
      </c>
      <c r="B47" t="str">
        <f>PPE!A46</f>
        <v>PP-22</v>
      </c>
      <c r="C47" t="str">
        <f>PPE!B46</f>
        <v>Respiratory Protection</v>
      </c>
      <c r="D47" t="str">
        <f>PPE!C46</f>
        <v>Training must be provided to each employee required to use a respirator. Training must occur before use and annually thereafter (or more frequently if warranted). Training must be understandable to the employee and must cover: (1) why the respirator is necessary and how improper fit, use, or maintenance can compromise protection; (2) limitations and capabilities of the respirator; (3) effective use in emergency situations; (4) how to inspect, put on, remove, and check the seals; (5) maintenance and storage procedures; (6) medical signs and symptoms that may limit or prevent effective use.</v>
      </c>
      <c r="E47" t="str">
        <f>PPE!E46</f>
        <v>Select rating</v>
      </c>
      <c r="F47">
        <f>PPE!F46</f>
        <v>0</v>
      </c>
      <c r="G47">
        <f>PPE!G46</f>
        <v>8</v>
      </c>
      <c r="H47">
        <f>PPE!H46</f>
        <v>0</v>
      </c>
      <c r="I47">
        <f>PPE!I46</f>
        <v>0</v>
      </c>
      <c r="J47" t="str">
        <f>PPE!J46</f>
        <v>29 CFR 1910.134(k)</v>
      </c>
      <c r="K47">
        <f>IF(PPE!E46="Very High",5,IF(PPE!E46="High",4,IF(PPE!E46="Moderate",3,IF(PPE!E46="Low",2,IF(PPE!E46="Observation",1,0)))))</f>
        <v>0</v>
      </c>
      <c r="L47">
        <f>PPE!K46</f>
        <v>0</v>
      </c>
    </row>
    <row r="48" spans="1:12" ht="15" customHeight="1" x14ac:dyDescent="0.45">
      <c r="A48" t="s">
        <v>102</v>
      </c>
      <c r="B48" t="str">
        <f>PPE!A47</f>
        <v>PP-23</v>
      </c>
      <c r="C48" t="str">
        <f>PPE!B47</f>
        <v>Respiratory Protection</v>
      </c>
      <c r="D48" t="str">
        <f>PPE!C47</f>
        <v>The program administrator must conduct periodic workplace evaluations to ensure the program is being properly implemented and to consult with employees to identify problems. Evaluations must include: (1) conducting workplace and respirator use observations; (2) reviewing employee reports of problems; (3) identifying program deficiencies; and (4) correcting deficiencies before they affect employee health.</v>
      </c>
      <c r="E48" t="str">
        <f>PPE!E47</f>
        <v>Select rating</v>
      </c>
      <c r="F48">
        <f>PPE!F47</f>
        <v>0</v>
      </c>
      <c r="G48">
        <f>PPE!G47</f>
        <v>6</v>
      </c>
      <c r="H48">
        <f>PPE!H47</f>
        <v>0</v>
      </c>
      <c r="I48">
        <f>PPE!I47</f>
        <v>0</v>
      </c>
      <c r="J48" t="str">
        <f>PPE!J47</f>
        <v>29 CFR 1910.134(l)</v>
      </c>
      <c r="K48">
        <f>IF(PPE!E47="Very High",5,IF(PPE!E47="High",4,IF(PPE!E47="Moderate",3,IF(PPE!E47="Low",2,IF(PPE!E47="Observation",1,0)))))</f>
        <v>0</v>
      </c>
      <c r="L48">
        <f>PPE!K47</f>
        <v>0</v>
      </c>
    </row>
    <row r="49" spans="1:12" ht="15" customHeight="1" x14ac:dyDescent="0.45">
      <c r="A49" t="s">
        <v>102</v>
      </c>
      <c r="B49" t="str">
        <f>PPE!A49</f>
        <v>PP-24</v>
      </c>
      <c r="C49" t="str">
        <f>PPE!B49</f>
        <v>Personal Fall Protection Systems</v>
      </c>
      <c r="D49" t="str">
        <f>PPE!C49</f>
        <v>All personal fall protection systems must meet general requirements: (1) Be designed, constructed, and installed per the applicable ANSI/ASSE standard; (2) Have connectors (snap hooks, carabiners, D-rings) that are corrosion-resistant and load-rated; (3) Have locking-type snap hooks to prevent rollout; (4) Self-retracting lifelines must meet ANSI/ASSE Z359.14; (5) Full-body harnesses must meet ANSI/ASSE Z359.11; (6) Equipment must be inspected before each use and removed from service if defective; (7) Equipment must be retired after a fall arrest event.</v>
      </c>
      <c r="E49" t="str">
        <f>PPE!E49</f>
        <v>Select rating</v>
      </c>
      <c r="F49">
        <f>PPE!F49</f>
        <v>0</v>
      </c>
      <c r="G49">
        <f>PPE!G49</f>
        <v>8</v>
      </c>
      <c r="H49">
        <f>PPE!H49</f>
        <v>0</v>
      </c>
      <c r="I49">
        <f>PPE!I49</f>
        <v>0</v>
      </c>
      <c r="J49" t="str">
        <f>PPE!J49</f>
        <v>29 CFR 1910.140(c)</v>
      </c>
      <c r="K49">
        <f>IF(PPE!E49="Very High",5,IF(PPE!E49="High",4,IF(PPE!E49="Moderate",3,IF(PPE!E49="Low",2,IF(PPE!E49="Observation",1,0)))))</f>
        <v>0</v>
      </c>
      <c r="L49">
        <f>PPE!K49</f>
        <v>0</v>
      </c>
    </row>
    <row r="50" spans="1:12" ht="15" customHeight="1" x14ac:dyDescent="0.45">
      <c r="A50" t="s">
        <v>102</v>
      </c>
      <c r="B50" t="str">
        <f>PPE!A50</f>
        <v>PP-25</v>
      </c>
      <c r="C50" t="str">
        <f>PPE!B50</f>
        <v>Personal Fall Protection Systems</v>
      </c>
      <c r="D50" t="str">
        <f>PPE!C50</f>
        <v>Personal fall arrest systems must: (1) Limit maximum arresting force on the employee to 1,800 lbs when used with a body harness; (2) Be rigged such that the employee can fall no more than 6 feet, nor contact any lower level; (3) Bring an employee to a complete stop and limit maximum deceleration distance to 3.5 feet; (4) Have sufficient strength to withstand twice the potential impact load or at least 5,000 lbs per attached employee.</v>
      </c>
      <c r="E50" t="str">
        <f>PPE!E50</f>
        <v>Select rating</v>
      </c>
      <c r="F50">
        <f>PPE!F50</f>
        <v>0</v>
      </c>
      <c r="G50">
        <f>PPE!G50</f>
        <v>6</v>
      </c>
      <c r="H50">
        <f>PPE!H50</f>
        <v>0</v>
      </c>
      <c r="I50">
        <f>PPE!I50</f>
        <v>0</v>
      </c>
      <c r="J50" t="str">
        <f>PPE!J50</f>
        <v>29 CFR 1910.140(d)</v>
      </c>
      <c r="K50">
        <f>IF(PPE!E50="Very High",5,IF(PPE!E50="High",4,IF(PPE!E50="Moderate",3,IF(PPE!E50="Low",2,IF(PPE!E50="Observation",1,0)))))</f>
        <v>0</v>
      </c>
      <c r="L50">
        <f>PPE!K50</f>
        <v>0</v>
      </c>
    </row>
    <row r="51" spans="1:12" ht="15" customHeight="1" x14ac:dyDescent="0.45">
      <c r="A51" t="s">
        <v>102</v>
      </c>
      <c r="B51" t="str">
        <f>PPE!A51</f>
        <v>PP-26</v>
      </c>
      <c r="C51" t="str">
        <f>PPE!B51</f>
        <v>Personal Fall Protection Systems</v>
      </c>
      <c r="D51" t="str">
        <f>PPE!C51</f>
        <v>Positioning systems must be rigged such that an employee cannot free-fall more than 2 feet. Positioning systems must be secured to an anchorage capable of supporting at least twice the potential impact load or at least 3,000 lbs, whichever is greater.</v>
      </c>
      <c r="E51" t="str">
        <f>PPE!E51</f>
        <v>Select rating</v>
      </c>
      <c r="F51">
        <f>PPE!F51</f>
        <v>0</v>
      </c>
      <c r="G51">
        <f>PPE!G51</f>
        <v>5</v>
      </c>
      <c r="H51">
        <f>PPE!H51</f>
        <v>0</v>
      </c>
      <c r="I51">
        <f>PPE!I51</f>
        <v>0</v>
      </c>
      <c r="J51" t="str">
        <f>PPE!J51</f>
        <v>29 CFR 1910.140(e)</v>
      </c>
      <c r="K51">
        <f>IF(PPE!E51="Very High",5,IF(PPE!E51="High",4,IF(PPE!E51="Moderate",3,IF(PPE!E51="Low",2,IF(PPE!E51="Observation",1,0)))))</f>
        <v>0</v>
      </c>
      <c r="L51">
        <f>PPE!K51</f>
        <v>0</v>
      </c>
    </row>
    <row r="52" spans="1:12" ht="15" customHeight="1" x14ac:dyDescent="0.45">
      <c r="A52" t="s">
        <v>1553</v>
      </c>
      <c r="B52" t="str">
        <f>'Walking &amp; Working Surfaces'!A19</f>
        <v>WW-1</v>
      </c>
      <c r="C52" t="str">
        <f>'Walking &amp; Working Surfaces'!B19</f>
        <v>General Walking-Working Surface Requirements</v>
      </c>
      <c r="D52" t="str">
        <f>'Walking &amp; Working Surfaces'!C19</f>
        <v>All places of employment, passageways, storerooms, and service rooms must be kept in a clean, orderly, and sanitary condition. Floor surfaces must be kept clean and as dry as possible. Drainage must be maintained for wet process areas, and false floors, platforms, mats, or other dry-standing places must be provided where workers stand in wet conditions.</v>
      </c>
      <c r="E52" t="str">
        <f>'Walking &amp; Working Surfaces'!E19</f>
        <v>Select rating</v>
      </c>
      <c r="F52">
        <f>'Walking &amp; Working Surfaces'!F19</f>
        <v>0</v>
      </c>
      <c r="G52">
        <f>'Walking &amp; Working Surfaces'!G19</f>
        <v>8</v>
      </c>
      <c r="H52">
        <f>'Walking &amp; Working Surfaces'!H19</f>
        <v>0</v>
      </c>
      <c r="I52">
        <f>'Walking &amp; Working Surfaces'!I19</f>
        <v>0</v>
      </c>
      <c r="J52" t="str">
        <f>'Walking &amp; Working Surfaces'!J19</f>
        <v>29 CFR 1910.22(a)</v>
      </c>
      <c r="K52">
        <f>IF('Walking &amp; Working Surfaces'!E19="Very High",5,IF('Walking &amp; Working Surfaces'!E19="High",4,IF('Walking &amp; Working Surfaces'!E19="Moderate",3,IF('Walking &amp; Working Surfaces'!E19="Low",2,IF('Walking &amp; Working Surfaces'!E19="Observation",1,0)))))</f>
        <v>0</v>
      </c>
      <c r="L52">
        <f>'Walking &amp; Working Surfaces'!K19</f>
        <v>0</v>
      </c>
    </row>
    <row r="53" spans="1:12" ht="15" customHeight="1" x14ac:dyDescent="0.45">
      <c r="A53" t="s">
        <v>1553</v>
      </c>
      <c r="B53" t="str">
        <f>'Walking &amp; Working Surfaces'!A20</f>
        <v>WW-2</v>
      </c>
      <c r="C53" t="str">
        <f>'Walking &amp; Working Surfaces'!B20</f>
        <v>General Walking-Working Surface Requirements</v>
      </c>
      <c r="D53" t="str">
        <f>'Walking &amp; Working Surfaces'!C20</f>
        <v>Each walking-working surface must be able to support the maximum intended load placed upon it. Loads must not exceed the surface's design load capacity.</v>
      </c>
      <c r="E53" t="str">
        <f>'Walking &amp; Working Surfaces'!E20</f>
        <v>Select rating</v>
      </c>
      <c r="F53">
        <f>'Walking &amp; Working Surfaces'!F20</f>
        <v>0</v>
      </c>
      <c r="G53">
        <f>'Walking &amp; Working Surfaces'!G20</f>
        <v>6</v>
      </c>
      <c r="H53">
        <f>'Walking &amp; Working Surfaces'!H20</f>
        <v>0</v>
      </c>
      <c r="I53">
        <f>'Walking &amp; Working Surfaces'!I20</f>
        <v>0</v>
      </c>
      <c r="J53" t="str">
        <f>'Walking &amp; Working Surfaces'!J20</f>
        <v>29 CFR 1910.22(b)</v>
      </c>
      <c r="K53">
        <f>IF('Walking &amp; Working Surfaces'!E20="Very High",5,IF('Walking &amp; Working Surfaces'!E20="High",4,IF('Walking &amp; Working Surfaces'!E20="Moderate",3,IF('Walking &amp; Working Surfaces'!E20="Low",2,IF('Walking &amp; Working Surfaces'!E20="Observation",1,0)))))</f>
        <v>0</v>
      </c>
      <c r="L53">
        <f>'Walking &amp; Working Surfaces'!K20</f>
        <v>0</v>
      </c>
    </row>
    <row r="54" spans="1:12" ht="15" customHeight="1" x14ac:dyDescent="0.45">
      <c r="A54" t="s">
        <v>1553</v>
      </c>
      <c r="B54" t="str">
        <f>'Walking &amp; Working Surfaces'!A21</f>
        <v>WW-3</v>
      </c>
      <c r="C54" t="str">
        <f>'Walking &amp; Working Surfaces'!B21</f>
        <v>General Walking-Working Surface Requirements</v>
      </c>
      <c r="D54" t="str">
        <f>'Walking &amp; Working Surfaces'!C21</f>
        <v>The employer must provide safe means of access and egress to and from each elevated walking-working surface, and must ensure that employees use those means.</v>
      </c>
      <c r="E54" t="str">
        <f>'Walking &amp; Working Surfaces'!E21</f>
        <v>Select rating</v>
      </c>
      <c r="F54">
        <f>'Walking &amp; Working Surfaces'!F21</f>
        <v>0</v>
      </c>
      <c r="G54">
        <f>'Walking &amp; Working Surfaces'!G21</f>
        <v>8</v>
      </c>
      <c r="H54">
        <f>'Walking &amp; Working Surfaces'!H21</f>
        <v>0</v>
      </c>
      <c r="I54">
        <f>'Walking &amp; Working Surfaces'!I21</f>
        <v>0</v>
      </c>
      <c r="J54" t="str">
        <f>'Walking &amp; Working Surfaces'!J21</f>
        <v>29 CFR 1910.22(c)</v>
      </c>
      <c r="K54">
        <f>IF('Walking &amp; Working Surfaces'!E21="Very High",5,IF('Walking &amp; Working Surfaces'!E21="High",4,IF('Walking &amp; Working Surfaces'!E21="Moderate",3,IF('Walking &amp; Working Surfaces'!E21="Low",2,IF('Walking &amp; Working Surfaces'!E21="Observation",1,0)))))</f>
        <v>0</v>
      </c>
      <c r="L54">
        <f>'Walking &amp; Working Surfaces'!K21</f>
        <v>0</v>
      </c>
    </row>
    <row r="55" spans="1:12" ht="15" customHeight="1" x14ac:dyDescent="0.45">
      <c r="A55" t="s">
        <v>1553</v>
      </c>
      <c r="B55" t="str">
        <f>'Walking &amp; Working Surfaces'!A22</f>
        <v>WW-4</v>
      </c>
      <c r="C55" t="str">
        <f>'Walking &amp; Working Surfaces'!B22</f>
        <v>General Walking-Working Surface Requirements</v>
      </c>
      <c r="D55" t="str">
        <f>'Walking &amp; Working Surfaces'!C22</f>
        <v>Walking-working surfaces must be inspected on a regular basis and as necessary, and must be maintained in a safe condition. Any surface with a hazardous condition must be taken out of service and either guarded to prevent employee use or corrected/repaired before employees use it again. When structural repairs are involved, a qualified person must perform or supervise the repair.</v>
      </c>
      <c r="E55" t="str">
        <f>'Walking &amp; Working Surfaces'!E22</f>
        <v>Select rating</v>
      </c>
      <c r="F55">
        <f>'Walking &amp; Working Surfaces'!F22</f>
        <v>0</v>
      </c>
      <c r="G55">
        <f>'Walking &amp; Working Surfaces'!G22</f>
        <v>8</v>
      </c>
      <c r="H55">
        <f>'Walking &amp; Working Surfaces'!H22</f>
        <v>0</v>
      </c>
      <c r="I55">
        <f>'Walking &amp; Working Surfaces'!I22</f>
        <v>0</v>
      </c>
      <c r="J55" t="str">
        <f>'Walking &amp; Working Surfaces'!J22</f>
        <v>29 CFR 1910.22(d)</v>
      </c>
      <c r="K55">
        <f>IF('Walking &amp; Working Surfaces'!E22="Very High",5,IF('Walking &amp; Working Surfaces'!E22="High",4,IF('Walking &amp; Working Surfaces'!E22="Moderate",3,IF('Walking &amp; Working Surfaces'!E22="Low",2,IF('Walking &amp; Working Surfaces'!E22="Observation",1,0)))))</f>
        <v>0</v>
      </c>
      <c r="L55">
        <f>'Walking &amp; Working Surfaces'!K22</f>
        <v>0</v>
      </c>
    </row>
    <row r="56" spans="1:12" ht="15" customHeight="1" x14ac:dyDescent="0.45">
      <c r="A56" t="s">
        <v>1553</v>
      </c>
      <c r="B56" t="str">
        <f>'Walking &amp; Working Surfaces'!A24</f>
        <v>WW-5</v>
      </c>
      <c r="C56" t="str">
        <f>'Walking &amp; Working Surfaces'!B24</f>
        <v>Ladders</v>
      </c>
      <c r="D56" t="str">
        <f>'Walking &amp; Working Surfaces'!C24</f>
        <v>All ladders must meet the following general construction and use requirements: (1) Rungs, steps, and cleats must be parallel, level, and uniformly spaced 10-14 inches apart (center-to-center); (2) Minimum clear width of 11.5 inches for portable ladders, 16 inches for fixed ladders; (3) Ladder surfaces must be free of puncture and laceration hazards; (4) Ladders must be inspected before each shift and defective ladders must be immediately tagged 'Dangerous: Do Not Use' and removed from service; (5) Employees must face the ladder when climbing or descending; (6) At least one hand must grasp the ladder at all times; (7) No objects or loads carried that could cause loss of balance.</v>
      </c>
      <c r="E56" t="str">
        <f>'Walking &amp; Working Surfaces'!E24</f>
        <v>Select rating</v>
      </c>
      <c r="F56">
        <f>'Walking &amp; Working Surfaces'!F24</f>
        <v>0</v>
      </c>
      <c r="G56">
        <f>'Walking &amp; Working Surfaces'!G24</f>
        <v>8</v>
      </c>
      <c r="H56">
        <f>'Walking &amp; Working Surfaces'!H24</f>
        <v>0</v>
      </c>
      <c r="I56">
        <f>'Walking &amp; Working Surfaces'!I24</f>
        <v>0</v>
      </c>
      <c r="J56" t="str">
        <f>'Walking &amp; Working Surfaces'!J24</f>
        <v>29 CFR 1910.23(b)</v>
      </c>
      <c r="K56">
        <f>IF('Walking &amp; Working Surfaces'!E24="Very High",5,IF('Walking &amp; Working Surfaces'!E24="High",4,IF('Walking &amp; Working Surfaces'!E24="Moderate",3,IF('Walking &amp; Working Surfaces'!E24="Low",2,IF('Walking &amp; Working Surfaces'!E24="Observation",1,0)))))</f>
        <v>0</v>
      </c>
      <c r="L56">
        <f>'Walking &amp; Working Surfaces'!K24</f>
        <v>0</v>
      </c>
    </row>
    <row r="57" spans="1:12" ht="15" customHeight="1" x14ac:dyDescent="0.45">
      <c r="A57" t="s">
        <v>1553</v>
      </c>
      <c r="B57" t="str">
        <f>'Walking &amp; Working Surfaces'!A25</f>
        <v>WW-6</v>
      </c>
      <c r="C57" t="str">
        <f>'Walking &amp; Working Surfaces'!B25</f>
        <v>Ladders</v>
      </c>
      <c r="D57" t="str">
        <f>'Walking &amp; Working Surfaces'!C25</f>
        <v>Portable ladders must additionally meet these requirements: (1) Not loaded beyond maximum intended load; (2) Used only on stable and level surfaces, or secured to prevent displacement; (3) Secured or guarded with barriers when placed in doorways, passageways, or driveways; (4) Not moved or extended while an employee is on the ladder; (5) No single-rail portable ladders in use; (6) When used for access to an upper landing surface, side rails must extend at least 3 feet above the upper landing; (7) Not placed on boxes, barrels, or other unstable bases to gain height; (8) Not tied or fastened together to provide added length unless designed for such use.</v>
      </c>
      <c r="E57" t="str">
        <f>'Walking &amp; Working Surfaces'!E25</f>
        <v>Select rating</v>
      </c>
      <c r="F57">
        <f>'Walking &amp; Working Surfaces'!F25</f>
        <v>0</v>
      </c>
      <c r="G57">
        <f>'Walking &amp; Working Surfaces'!G25</f>
        <v>8</v>
      </c>
      <c r="H57">
        <f>'Walking &amp; Working Surfaces'!H25</f>
        <v>0</v>
      </c>
      <c r="I57">
        <f>'Walking &amp; Working Surfaces'!I25</f>
        <v>0</v>
      </c>
      <c r="J57" t="str">
        <f>'Walking &amp; Working Surfaces'!J25</f>
        <v>29 CFR 1910.23(c)</v>
      </c>
      <c r="K57">
        <f>IF('Walking &amp; Working Surfaces'!E25="Very High",5,IF('Walking &amp; Working Surfaces'!E25="High",4,IF('Walking &amp; Working Surfaces'!E25="Moderate",3,IF('Walking &amp; Working Surfaces'!E25="Low",2,IF('Walking &amp; Working Surfaces'!E25="Observation",1,0)))))</f>
        <v>0</v>
      </c>
      <c r="L57">
        <f>'Walking &amp; Working Surfaces'!K25</f>
        <v>0</v>
      </c>
    </row>
    <row r="58" spans="1:12" ht="15" customHeight="1" x14ac:dyDescent="0.45">
      <c r="A58" t="s">
        <v>1553</v>
      </c>
      <c r="B58" t="str">
        <f>'Walking &amp; Working Surfaces'!A26</f>
        <v>WW-7</v>
      </c>
      <c r="C58" t="str">
        <f>'Walking &amp; Working Surfaces'!B26</f>
        <v>Ladders</v>
      </c>
      <c r="D58" t="str">
        <f>'Walking &amp; Working Surfaces'!C26</f>
        <v>Fixed ladders must meet: (1) Minimum perpendicular clearance of 7 inches from centerline of rungs to nearest permanent object behind the ladder; (2) Side rails extend at least 42 inches above the top access level; (3) For through-ladders, extensions omit the rungs and flare the side rails 24-30 inches apart; (4) Pitch not greater than 90 degrees from horizontal; (5) Clear width of at least 15 inches on each side of the centerline; (6) Fixed ladders extending more than 24 feet above a lower level must have a ladder safety system (preferred) or cage/well.</v>
      </c>
      <c r="E58" t="str">
        <f>'Walking &amp; Working Surfaces'!E26</f>
        <v>Select rating</v>
      </c>
      <c r="F58">
        <f>'Walking &amp; Working Surfaces'!F26</f>
        <v>0</v>
      </c>
      <c r="G58">
        <f>'Walking &amp; Working Surfaces'!G26</f>
        <v>6</v>
      </c>
      <c r="H58">
        <f>'Walking &amp; Working Surfaces'!H26</f>
        <v>0</v>
      </c>
      <c r="I58">
        <f>'Walking &amp; Working Surfaces'!I26</f>
        <v>0</v>
      </c>
      <c r="J58" t="str">
        <f>'Walking &amp; Working Surfaces'!J26</f>
        <v>29 CFR 1910.23(d)</v>
      </c>
      <c r="K58">
        <f>IF('Walking &amp; Working Surfaces'!E26="Very High",5,IF('Walking &amp; Working Surfaces'!E26="High",4,IF('Walking &amp; Working Surfaces'!E26="Moderate",3,IF('Walking &amp; Working Surfaces'!E26="Low",2,IF('Walking &amp; Working Surfaces'!E26="Observation",1,0)))))</f>
        <v>0</v>
      </c>
      <c r="L58">
        <f>'Walking &amp; Working Surfaces'!K26</f>
        <v>0</v>
      </c>
    </row>
    <row r="59" spans="1:12" ht="15" customHeight="1" x14ac:dyDescent="0.45">
      <c r="A59" t="s">
        <v>1553</v>
      </c>
      <c r="B59" t="str">
        <f>'Walking &amp; Working Surfaces'!A27</f>
        <v>WW-8</v>
      </c>
      <c r="C59" t="str">
        <f>'Walking &amp; Working Surfaces'!B27</f>
        <v>Ladders</v>
      </c>
      <c r="D59" t="str">
        <f>'Walking &amp; Working Surfaces'!C27</f>
        <v>Mobile ladder stands and platforms must meet: (1) Step width of at least 16 inches; (2) Slip-resistant step and platform surfaces; (3) Load capacity of at least 4 times the maximum intended load; (4) Wheels/casters capable of supporting proportional share of 4 times the maximum intended load; (5) Handrails with vertical height 29.5-37 inches on units with top step height of 4 feet or more; (6) Maximum work-surface height must not exceed 4 times the shortest base dimension (unless stabilized); (7) A system to prevent horizontal movement when an employee is on the unit.</v>
      </c>
      <c r="E59" t="str">
        <f>'Walking &amp; Working Surfaces'!E27</f>
        <v>Select rating</v>
      </c>
      <c r="F59">
        <f>'Walking &amp; Working Surfaces'!F27</f>
        <v>0</v>
      </c>
      <c r="G59">
        <f>'Walking &amp; Working Surfaces'!G27</f>
        <v>5</v>
      </c>
      <c r="H59">
        <f>'Walking &amp; Working Surfaces'!H27</f>
        <v>0</v>
      </c>
      <c r="I59">
        <f>'Walking &amp; Working Surfaces'!I27</f>
        <v>0</v>
      </c>
      <c r="J59" t="str">
        <f>'Walking &amp; Working Surfaces'!J27</f>
        <v>29 CFR 1910.23(e)(1)</v>
      </c>
      <c r="K59">
        <f>IF('Walking &amp; Working Surfaces'!E27="Very High",5,IF('Walking &amp; Working Surfaces'!E27="High",4,IF('Walking &amp; Working Surfaces'!E27="Moderate",3,IF('Walking &amp; Working Surfaces'!E27="Low",2,IF('Walking &amp; Working Surfaces'!E27="Observation",1,0)))))</f>
        <v>0</v>
      </c>
      <c r="L59">
        <f>'Walking &amp; Working Surfaces'!K27</f>
        <v>0</v>
      </c>
    </row>
    <row r="60" spans="1:12" ht="15" customHeight="1" x14ac:dyDescent="0.45">
      <c r="A60" t="s">
        <v>1553</v>
      </c>
      <c r="B60" t="str">
        <f>'Walking &amp; Working Surfaces'!A29</f>
        <v>WW-9</v>
      </c>
      <c r="C60" t="str">
        <f>'Walking &amp; Working Surfaces'!B29</f>
        <v>Step Bolts and Manhole Steps</v>
      </c>
      <c r="D60" t="str">
        <f>'Walking &amp; Working Surfaces'!C29</f>
        <v>Step bolts used for climbing structures must meet requirements for dimensions (minimum 4.5-inch tread depth, minimum 8-inch spacing, minimum 4.5-inch width), slip resistance, and load capacity (minimum 250 lbs). Manhole steps must be corrosion-resistant (plastic-encapsulated steel or non-corrosive material) and capable of supporting 250 lbs minimum.</v>
      </c>
      <c r="E60" t="str">
        <f>'Walking &amp; Working Surfaces'!E29</f>
        <v>Select rating</v>
      </c>
      <c r="F60">
        <f>'Walking &amp; Working Surfaces'!F29</f>
        <v>0</v>
      </c>
      <c r="G60">
        <f>'Walking &amp; Working Surfaces'!G29</f>
        <v>4</v>
      </c>
      <c r="H60">
        <f>'Walking &amp; Working Surfaces'!H29</f>
        <v>0</v>
      </c>
      <c r="I60">
        <f>'Walking &amp; Working Surfaces'!I29</f>
        <v>0</v>
      </c>
      <c r="J60" t="str">
        <f>'Walking &amp; Working Surfaces'!J29</f>
        <v>29 CFR 1910.24(a)-(b)</v>
      </c>
      <c r="K60">
        <f>IF('Walking &amp; Working Surfaces'!E29="Very High",5,IF('Walking &amp; Working Surfaces'!E29="High",4,IF('Walking &amp; Working Surfaces'!E29="Moderate",3,IF('Walking &amp; Working Surfaces'!E29="Low",2,IF('Walking &amp; Working Surfaces'!E29="Observation",1,0)))))</f>
        <v>0</v>
      </c>
      <c r="L60">
        <f>'Walking &amp; Working Surfaces'!K29</f>
        <v>0</v>
      </c>
    </row>
    <row r="61" spans="1:12" ht="15" customHeight="1" x14ac:dyDescent="0.45">
      <c r="A61" t="s">
        <v>1553</v>
      </c>
      <c r="B61" t="str">
        <f>'Walking &amp; Working Surfaces'!A31</f>
        <v>WW-10</v>
      </c>
      <c r="C61" t="str">
        <f>'Walking &amp; Working Surfaces'!B31</f>
        <v>Stairways</v>
      </c>
      <c r="D61" t="str">
        <f>'Walking &amp; Working Surfaces'!C31</f>
        <v>Standard stairways must meet: (1) Width of at least 22 inches; (2) Rise height (riser) of 6.5 to 9.5 inches (uniform throughout the flight, with maximum variation of 3/8 inch); (3) Tread depth of at least 9.5 inches (uniform throughout the flight, with maximum variation of 3/8 inch); (4) Non-slip surfaces on stair treads; (5) Stairway angle between 30 and 50 degrees from horizontal.</v>
      </c>
      <c r="E61" t="str">
        <f>'Walking &amp; Working Surfaces'!E31</f>
        <v>Select rating</v>
      </c>
      <c r="F61">
        <f>'Walking &amp; Working Surfaces'!F31</f>
        <v>0</v>
      </c>
      <c r="G61">
        <f>'Walking &amp; Working Surfaces'!G31</f>
        <v>6</v>
      </c>
      <c r="H61">
        <f>'Walking &amp; Working Surfaces'!H31</f>
        <v>0</v>
      </c>
      <c r="I61">
        <f>'Walking &amp; Working Surfaces'!I31</f>
        <v>0</v>
      </c>
      <c r="J61" t="str">
        <f>'Walking &amp; Working Surfaces'!J31</f>
        <v>29 CFR 1910.25(b)-(c)</v>
      </c>
      <c r="K61">
        <f>IF('Walking &amp; Working Surfaces'!E31="Very High",5,IF('Walking &amp; Working Surfaces'!E31="High",4,IF('Walking &amp; Working Surfaces'!E31="Moderate",3,IF('Walking &amp; Working Surfaces'!E31="Low",2,IF('Walking &amp; Working Surfaces'!E31="Observation",1,0)))))</f>
        <v>0</v>
      </c>
      <c r="L61">
        <f>'Walking &amp; Working Surfaces'!K31</f>
        <v>0</v>
      </c>
    </row>
    <row r="62" spans="1:12" ht="15" customHeight="1" x14ac:dyDescent="0.45">
      <c r="A62" t="s">
        <v>1553</v>
      </c>
      <c r="B62" t="str">
        <f>'Walking &amp; Working Surfaces'!A32</f>
        <v>WW-11</v>
      </c>
      <c r="C62" t="str">
        <f>'Walking &amp; Working Surfaces'!B32</f>
        <v>Stairways</v>
      </c>
      <c r="D62" t="str">
        <f>'Walking &amp; Working Surfaces'!C32</f>
        <v>Spiral, ship, and alternating-tread stairs may only be used where it is not practical to install a standard stairway. Each type has specific design requirements. Spiral stairs: minimum 26-inch inside diameter, 7.5-inch minimum tread depth. Ship stairs: 50-70 degree angle, 8-inch minimum tread depth. Alternating-tread stairs: 50-70 degree angle, 8.5-inch minimum tread depth.</v>
      </c>
      <c r="E62" t="str">
        <f>'Walking &amp; Working Surfaces'!E32</f>
        <v>Select rating</v>
      </c>
      <c r="F62">
        <f>'Walking &amp; Working Surfaces'!F32</f>
        <v>0</v>
      </c>
      <c r="G62">
        <f>'Walking &amp; Working Surfaces'!G32</f>
        <v>4</v>
      </c>
      <c r="H62">
        <f>'Walking &amp; Working Surfaces'!H32</f>
        <v>0</v>
      </c>
      <c r="I62">
        <f>'Walking &amp; Working Surfaces'!I32</f>
        <v>0</v>
      </c>
      <c r="J62" t="str">
        <f>'Walking &amp; Working Surfaces'!J32</f>
        <v>29 CFR 1910.25(d)-(f)</v>
      </c>
      <c r="K62">
        <f>IF('Walking &amp; Working Surfaces'!E32="Very High",5,IF('Walking &amp; Working Surfaces'!E32="High",4,IF('Walking &amp; Working Surfaces'!E32="Moderate",3,IF('Walking &amp; Working Surfaces'!E32="Low",2,IF('Walking &amp; Working Surfaces'!E32="Observation",1,0)))))</f>
        <v>0</v>
      </c>
      <c r="L62">
        <f>'Walking &amp; Working Surfaces'!K32</f>
        <v>0</v>
      </c>
    </row>
    <row r="63" spans="1:12" ht="15" customHeight="1" x14ac:dyDescent="0.45">
      <c r="A63" t="s">
        <v>1553</v>
      </c>
      <c r="B63" t="str">
        <f>'Walking &amp; Working Surfaces'!A34</f>
        <v>WW-12</v>
      </c>
      <c r="C63" t="str">
        <f>'Walking &amp; Working Surfaces'!B34</f>
        <v>Dockboards</v>
      </c>
      <c r="D63" t="str">
        <f>'Walking &amp; Working Surfaces'!C34</f>
        <v>Dockboards (bridge plates) must be: (1) Strong enough to carry the load imposed upon them; (2) Secured in position (to the dock or vehicle) by anchors or equivalent means before use to prevent accidental movement; (3) Marked with the rated load capacity; (4) Not loaded beyond their rated load capacity.</v>
      </c>
      <c r="E63" t="str">
        <f>'Walking &amp; Working Surfaces'!E34</f>
        <v>Select rating</v>
      </c>
      <c r="F63">
        <f>'Walking &amp; Working Surfaces'!F34</f>
        <v>0</v>
      </c>
      <c r="G63">
        <f>'Walking &amp; Working Surfaces'!G34</f>
        <v>4</v>
      </c>
      <c r="H63">
        <f>'Walking &amp; Working Surfaces'!H34</f>
        <v>0</v>
      </c>
      <c r="I63">
        <f>'Walking &amp; Working Surfaces'!I34</f>
        <v>0</v>
      </c>
      <c r="J63" t="str">
        <f>'Walking &amp; Working Surfaces'!J34</f>
        <v>29 CFR 1910.26</v>
      </c>
      <c r="K63">
        <f>IF('Walking &amp; Working Surfaces'!E34="Very High",5,IF('Walking &amp; Working Surfaces'!E34="High",4,IF('Walking &amp; Working Surfaces'!E34="Moderate",3,IF('Walking &amp; Working Surfaces'!E34="Low",2,IF('Walking &amp; Working Surfaces'!E34="Observation",1,0)))))</f>
        <v>0</v>
      </c>
      <c r="L63">
        <f>'Walking &amp; Working Surfaces'!K34</f>
        <v>0</v>
      </c>
    </row>
    <row r="64" spans="1:12" ht="15" customHeight="1" x14ac:dyDescent="0.45">
      <c r="A64" t="s">
        <v>1553</v>
      </c>
      <c r="B64" t="str">
        <f>'Walking &amp; Working Surfaces'!A36</f>
        <v>WW-13</v>
      </c>
      <c r="C64" t="str">
        <f>'Walking &amp; Working Surfaces'!B36</f>
        <v>Scaffolds and Rope Descent Systems</v>
      </c>
      <c r="D64" t="str">
        <f>'Walking &amp; Working Surfaces'!C36</f>
        <v>Scaffolds used at this facility must meet the same requirements as those found in OSHA's Construction standards at 29 CFR 1926 Subpart L, including: (1) Load rating and capacity markings; (2) Planking or decking of proper grade and condition; (3) Guardrails, mid-rails, and toe boards on all open sides and ends; (4) Erected, moved, dismantled, or altered only under the supervision of a competent person; (5) Inspected by a competent person before each work shift and after any occurrence that could affect structural integrity.</v>
      </c>
      <c r="E64" t="str">
        <f>'Walking &amp; Working Surfaces'!E36</f>
        <v>Select rating</v>
      </c>
      <c r="F64">
        <f>'Walking &amp; Working Surfaces'!F36</f>
        <v>0</v>
      </c>
      <c r="G64">
        <f>'Walking &amp; Working Surfaces'!G36</f>
        <v>6</v>
      </c>
      <c r="H64">
        <f>'Walking &amp; Working Surfaces'!H36</f>
        <v>0</v>
      </c>
      <c r="I64">
        <f>'Walking &amp; Working Surfaces'!I36</f>
        <v>0</v>
      </c>
      <c r="J64" t="str">
        <f>'Walking &amp; Working Surfaces'!J36</f>
        <v>29 CFR 1910.27</v>
      </c>
      <c r="K64">
        <f>IF('Walking &amp; Working Surfaces'!E36="Very High",5,IF('Walking &amp; Working Surfaces'!E36="High",4,IF('Walking &amp; Working Surfaces'!E36="Moderate",3,IF('Walking &amp; Working Surfaces'!E36="Low",2,IF('Walking &amp; Working Surfaces'!E36="Observation",1,0)))))</f>
        <v>0</v>
      </c>
      <c r="L64">
        <f>'Walking &amp; Working Surfaces'!K36</f>
        <v>0</v>
      </c>
    </row>
    <row r="65" spans="1:12" ht="15" customHeight="1" x14ac:dyDescent="0.45">
      <c r="A65" t="s">
        <v>1553</v>
      </c>
      <c r="B65" t="str">
        <f>'Walking &amp; Working Surfaces'!A37</f>
        <v>WW-14</v>
      </c>
      <c r="C65" t="str">
        <f>'Walking &amp; Working Surfaces'!B37</f>
        <v>Scaffolds and Rope Descent Systems</v>
      </c>
      <c r="D65" t="str">
        <f>'Walking &amp; Working Surfaces'!C37</f>
        <v>Rope descent systems must have anchorages certified by a qualified person to support at least 5,000 lbs per worker. Before each use, the rope, descent controller, carabiner, harness, and anchor must be inspected. Ropes must not be used if defective.</v>
      </c>
      <c r="E65" t="str">
        <f>'Walking &amp; Working Surfaces'!E37</f>
        <v>Select rating</v>
      </c>
      <c r="F65">
        <f>'Walking &amp; Working Surfaces'!F37</f>
        <v>0</v>
      </c>
      <c r="G65">
        <f>'Walking &amp; Working Surfaces'!G37</f>
        <v>4</v>
      </c>
      <c r="H65">
        <f>'Walking &amp; Working Surfaces'!H37</f>
        <v>0</v>
      </c>
      <c r="I65">
        <f>'Walking &amp; Working Surfaces'!I37</f>
        <v>0</v>
      </c>
      <c r="J65" t="str">
        <f>'Walking &amp; Working Surfaces'!J37</f>
        <v>29 CFR 1910.27(b)(1)-(b)(2)</v>
      </c>
      <c r="K65">
        <f>IF('Walking &amp; Working Surfaces'!E37="Very High",5,IF('Walking &amp; Working Surfaces'!E37="High",4,IF('Walking &amp; Working Surfaces'!E37="Moderate",3,IF('Walking &amp; Working Surfaces'!E37="Low",2,IF('Walking &amp; Working Surfaces'!E37="Observation",1,0)))))</f>
        <v>0</v>
      </c>
      <c r="L65">
        <f>'Walking &amp; Working Surfaces'!K37</f>
        <v>0</v>
      </c>
    </row>
    <row r="66" spans="1:12" ht="15" customHeight="1" x14ac:dyDescent="0.45">
      <c r="A66" t="s">
        <v>1553</v>
      </c>
      <c r="B66" t="str">
        <f>'Walking &amp; Working Surfaces'!A39</f>
        <v>WW-15</v>
      </c>
      <c r="C66" t="str">
        <f>'Walking &amp; Working Surfaces'!B39</f>
        <v>Fall Protection Requirements</v>
      </c>
      <c r="D66" t="str">
        <f>'Walking &amp; Working Surfaces'!C39</f>
        <v>The employer must ensure that each employee exposed to a fall hazard of 4 feet or more to a lower level is protected by a guardrail system, safety net system, or personal fall protection system. Additionally, fall protection is required at: (1) unprotected sides and edges; (2) hoist areas (guardrail or gate required); (3) holes in walking surfaces (cover or guardrail); (4) ramps, runways, and walkways; (5) walking surfaces above dangerous equipment; (6) wall and floor openings; (7) fixed ladders over 24 feet; (8) stairways with unprotected sides or edges; (9) scaffolds; (10) low-slope roofs.</v>
      </c>
      <c r="E66" t="str">
        <f>'Walking &amp; Working Surfaces'!E39</f>
        <v>Select rating</v>
      </c>
      <c r="F66">
        <f>'Walking &amp; Working Surfaces'!F39</f>
        <v>0</v>
      </c>
      <c r="G66">
        <f>'Walking &amp; Working Surfaces'!G39</f>
        <v>10</v>
      </c>
      <c r="H66">
        <f>'Walking &amp; Working Surfaces'!H39</f>
        <v>0</v>
      </c>
      <c r="I66">
        <f>'Walking &amp; Working Surfaces'!I39</f>
        <v>0</v>
      </c>
      <c r="J66" t="str">
        <f>'Walking &amp; Working Surfaces'!J39</f>
        <v>29 CFR 1910.28(b)(1)-(b)(15),(c)</v>
      </c>
      <c r="K66">
        <f>IF('Walking &amp; Working Surfaces'!E39="Very High",5,IF('Walking &amp; Working Surfaces'!E39="High",4,IF('Walking &amp; Working Surfaces'!E39="Moderate",3,IF('Walking &amp; Working Surfaces'!E39="Low",2,IF('Walking &amp; Working Surfaces'!E39="Observation",1,0)))))</f>
        <v>0</v>
      </c>
      <c r="L66">
        <f>'Walking &amp; Working Surfaces'!K39</f>
        <v>0</v>
      </c>
    </row>
    <row r="67" spans="1:12" ht="15" customHeight="1" x14ac:dyDescent="0.45">
      <c r="A67" t="s">
        <v>1553</v>
      </c>
      <c r="B67" t="str">
        <f>'Walking &amp; Working Surfaces'!A40</f>
        <v>WW-16</v>
      </c>
      <c r="C67" t="str">
        <f>'Walking &amp; Working Surfaces'!B40</f>
        <v>Fall Protection Requirements</v>
      </c>
      <c r="D67" t="str">
        <f>'Walking &amp; Working Surfaces'!C40</f>
        <v>Employees must be protected from falling objects through toeboards, screens, guardrail systems, canopies, or barricades whenever work is performed above other employees or in areas where overhead work creates a dropped-object hazard.</v>
      </c>
      <c r="E67" t="str">
        <f>'Walking &amp; Working Surfaces'!E40</f>
        <v>Select rating</v>
      </c>
      <c r="F67">
        <f>'Walking &amp; Working Surfaces'!F40</f>
        <v>0</v>
      </c>
      <c r="G67">
        <f>'Walking &amp; Working Surfaces'!G40</f>
        <v>8</v>
      </c>
      <c r="H67">
        <f>'Walking &amp; Working Surfaces'!H40</f>
        <v>0</v>
      </c>
      <c r="I67">
        <f>'Walking &amp; Working Surfaces'!I40</f>
        <v>0</v>
      </c>
      <c r="J67" t="str">
        <f>'Walking &amp; Working Surfaces'!J40</f>
        <v>29 CFR 1910.28(c)</v>
      </c>
      <c r="K67">
        <f>IF('Walking &amp; Working Surfaces'!E40="Very High",5,IF('Walking &amp; Working Surfaces'!E40="High",4,IF('Walking &amp; Working Surfaces'!E40="Moderate",3,IF('Walking &amp; Working Surfaces'!E40="Low",2,IF('Walking &amp; Working Surfaces'!E40="Observation",1,0)))))</f>
        <v>0</v>
      </c>
      <c r="L67">
        <f>'Walking &amp; Working Surfaces'!K40</f>
        <v>0</v>
      </c>
    </row>
    <row r="68" spans="1:12" ht="15" customHeight="1" x14ac:dyDescent="0.45">
      <c r="A68" t="s">
        <v>1553</v>
      </c>
      <c r="B68" t="str">
        <f>'Walking &amp; Working Surfaces'!A42</f>
        <v>WW-17</v>
      </c>
      <c r="C68" t="str">
        <f>'Walking &amp; Working Surfaces'!B42</f>
        <v>Fall Protection Systems — Criteria and Practices</v>
      </c>
      <c r="D68" t="str">
        <f>'Walking &amp; Working Surfaces'!C42</f>
        <v>Guardrail systems must: (1) Be between 39 and 45 inches in height (measured from the walking-working surface to the top of the top rail); (2) Withstand a force of 200 lbs applied in any outward or downward direction within 2 inches of the top edge; (3) Include a mid-rail (at approximately mid-height between the top rail and walking surface) or equivalent; (4) Have no openings large enough for an employee to fall through; (5) If made of wire rope, have rope capable of withstanding 200 lbs; (6) Not have any horizontal members acting as a ladder between the top rail and the walking surface.</v>
      </c>
      <c r="E68" t="str">
        <f>'Walking &amp; Working Surfaces'!E42</f>
        <v>Select rating</v>
      </c>
      <c r="F68">
        <f>'Walking &amp; Working Surfaces'!F42</f>
        <v>0</v>
      </c>
      <c r="G68">
        <f>'Walking &amp; Working Surfaces'!G42</f>
        <v>8</v>
      </c>
      <c r="H68">
        <f>'Walking &amp; Working Surfaces'!H42</f>
        <v>0</v>
      </c>
      <c r="I68">
        <f>'Walking &amp; Working Surfaces'!I42</f>
        <v>0</v>
      </c>
      <c r="J68" t="str">
        <f>'Walking &amp; Working Surfaces'!J42</f>
        <v>29 CFR 1910.29(b)</v>
      </c>
      <c r="K68">
        <f>IF('Walking &amp; Working Surfaces'!E42="Very High",5,IF('Walking &amp; Working Surfaces'!E42="High",4,IF('Walking &amp; Working Surfaces'!E42="Moderate",3,IF('Walking &amp; Working Surfaces'!E42="Low",2,IF('Walking &amp; Working Surfaces'!E42="Observation",1,0)))))</f>
        <v>0</v>
      </c>
      <c r="L68">
        <f>'Walking &amp; Working Surfaces'!K42</f>
        <v>0</v>
      </c>
    </row>
    <row r="69" spans="1:12" ht="15" customHeight="1" x14ac:dyDescent="0.45">
      <c r="A69" t="s">
        <v>1553</v>
      </c>
      <c r="B69" t="str">
        <f>'Walking &amp; Working Surfaces'!A43</f>
        <v>WW-18</v>
      </c>
      <c r="C69" t="str">
        <f>'Walking &amp; Working Surfaces'!B43</f>
        <v>Fall Protection Systems — Criteria and Practices</v>
      </c>
      <c r="D69" t="str">
        <f>'Walking &amp; Working Surfaces'!C43</f>
        <v>Covers for holes in floors, roofs, and platforms must: (1) Be capable of supporting at least twice the weight of employees, equipment, and materials that may be imposed on the cover at any one time; (2) Be secured to prevent accidental displacement — not just set in place; (3) Be color-coded or marked 'HOLE' or 'COVER' to provide warning.</v>
      </c>
      <c r="E69" t="str">
        <f>'Walking &amp; Working Surfaces'!E43</f>
        <v>Select rating</v>
      </c>
      <c r="F69">
        <f>'Walking &amp; Working Surfaces'!F43</f>
        <v>0</v>
      </c>
      <c r="G69">
        <f>'Walking &amp; Working Surfaces'!G43</f>
        <v>8</v>
      </c>
      <c r="H69">
        <f>'Walking &amp; Working Surfaces'!H43</f>
        <v>0</v>
      </c>
      <c r="I69">
        <f>'Walking &amp; Working Surfaces'!I43</f>
        <v>0</v>
      </c>
      <c r="J69" t="str">
        <f>'Walking &amp; Working Surfaces'!J43</f>
        <v>29 CFR 1910.29(e)</v>
      </c>
      <c r="K69">
        <f>IF('Walking &amp; Working Surfaces'!E43="Very High",5,IF('Walking &amp; Working Surfaces'!E43="High",4,IF('Walking &amp; Working Surfaces'!E43="Moderate",3,IF('Walking &amp; Working Surfaces'!E43="Low",2,IF('Walking &amp; Working Surfaces'!E43="Observation",1,0)))))</f>
        <v>0</v>
      </c>
      <c r="L69">
        <f>'Walking &amp; Working Surfaces'!K43</f>
        <v>0</v>
      </c>
    </row>
    <row r="70" spans="1:12" ht="15" customHeight="1" x14ac:dyDescent="0.45">
      <c r="A70" t="s">
        <v>1553</v>
      </c>
      <c r="B70" t="str">
        <f>'Walking &amp; Working Surfaces'!A44</f>
        <v>WW-19</v>
      </c>
      <c r="C70" t="str">
        <f>'Walking &amp; Working Surfaces'!B44</f>
        <v>Fall Protection Systems — Criteria and Practices</v>
      </c>
      <c r="D70" t="str">
        <f>'Walking &amp; Working Surfaces'!C44</f>
        <v>Handrails and stair rail systems must: (1) Handrail top surface height: 30-38 inches above stair nosing; (2) Stair rail system top edge height: 36-42 inches above stair nosing; (3) Capable of withstanding a force of 200 lbs applied in any downward or outward direction at any point along the top edge; (4) Smooth surfaces to prevent lacerations; (5) Continuous the full length of the stair flight (from top riser to bottom riser) with no gaps that could catch a sleeve or fall restraint.</v>
      </c>
      <c r="E70" t="str">
        <f>'Walking &amp; Working Surfaces'!E44</f>
        <v>Select rating</v>
      </c>
      <c r="F70">
        <f>'Walking &amp; Working Surfaces'!F44</f>
        <v>0</v>
      </c>
      <c r="G70">
        <f>'Walking &amp; Working Surfaces'!G44</f>
        <v>6</v>
      </c>
      <c r="H70">
        <f>'Walking &amp; Working Surfaces'!H44</f>
        <v>0</v>
      </c>
      <c r="I70">
        <f>'Walking &amp; Working Surfaces'!I44</f>
        <v>0</v>
      </c>
      <c r="J70" t="str">
        <f>'Walking &amp; Working Surfaces'!J44</f>
        <v>29 CFR 1910.29(f)</v>
      </c>
      <c r="K70">
        <f>IF('Walking &amp; Working Surfaces'!E44="Very High",5,IF('Walking &amp; Working Surfaces'!E44="High",4,IF('Walking &amp; Working Surfaces'!E44="Moderate",3,IF('Walking &amp; Working Surfaces'!E44="Low",2,IF('Walking &amp; Working Surfaces'!E44="Observation",1,0)))))</f>
        <v>0</v>
      </c>
      <c r="L70">
        <f>'Walking &amp; Working Surfaces'!K44</f>
        <v>0</v>
      </c>
    </row>
    <row r="71" spans="1:12" ht="15" customHeight="1" x14ac:dyDescent="0.45">
      <c r="A71" t="s">
        <v>1553</v>
      </c>
      <c r="B71" t="str">
        <f>'Walking &amp; Working Surfaces'!A45</f>
        <v>WW-20</v>
      </c>
      <c r="C71" t="str">
        <f>'Walking &amp; Working Surfaces'!B45</f>
        <v>Fall Protection Systems — Criteria and Practices</v>
      </c>
      <c r="D71" t="str">
        <f>'Walking &amp; Working Surfaces'!C45</f>
        <v>Fixed ladders over 24 feet above a lower level must be equipped with a ladder safety system or a personal fall arrest system. Cages and wells are permitted only for ladders installed before November 19, 2018 (and must be replaced with a ladder safety system or PFAS by November 18, 2036). Ladder safety systems and personal fall arrest systems used on ladders must allow the employee to climb and descend without continually having to adjust the system.</v>
      </c>
      <c r="E71" t="str">
        <f>'Walking &amp; Working Surfaces'!E45</f>
        <v>Select rating</v>
      </c>
      <c r="F71">
        <f>'Walking &amp; Working Surfaces'!F45</f>
        <v>0</v>
      </c>
      <c r="G71">
        <f>'Walking &amp; Working Surfaces'!G45</f>
        <v>6</v>
      </c>
      <c r="H71">
        <f>'Walking &amp; Working Surfaces'!H45</f>
        <v>0</v>
      </c>
      <c r="I71">
        <f>'Walking &amp; Working Surfaces'!I45</f>
        <v>0</v>
      </c>
      <c r="J71" t="str">
        <f>'Walking &amp; Working Surfaces'!J45</f>
        <v>29 CFR 1910.29(g),(i)</v>
      </c>
      <c r="K71">
        <f>IF('Walking &amp; Working Surfaces'!E45="Very High",5,IF('Walking &amp; Working Surfaces'!E45="High",4,IF('Walking &amp; Working Surfaces'!E45="Moderate",3,IF('Walking &amp; Working Surfaces'!E45="Low",2,IF('Walking &amp; Working Surfaces'!E45="Observation",1,0)))))</f>
        <v>0</v>
      </c>
      <c r="L71">
        <f>'Walking &amp; Working Surfaces'!K45</f>
        <v>0</v>
      </c>
    </row>
    <row r="72" spans="1:12" ht="15" customHeight="1" x14ac:dyDescent="0.45">
      <c r="A72" t="s">
        <v>1553</v>
      </c>
      <c r="B72" t="str">
        <f>'Walking &amp; Working Surfaces'!A46</f>
        <v>WW-21</v>
      </c>
      <c r="C72" t="str">
        <f>'Walking &amp; Working Surfaces'!B46</f>
        <v>Fall Protection Systems — Criteria and Practices</v>
      </c>
      <c r="D72" t="str">
        <f>'Walking &amp; Working Surfaces'!C46</f>
        <v>Personal fall arrest systems (PFAS) used to protect against falls from walking-working surfaces must: (1) Limit maximum arresting force to 1,800 lbs; (2) Be rigged to minimize free-fall distance to 6 feet; (3) Bring the employee to a complete stop with a deceleration distance no greater than 3.5 feet; (4) Not allow the employee to contact a lower level or obstruction; (5) Have anchorage capable of supporting 5,000 lbs per attached employee; (6) Be used with a full-body harness (not a body belt for fall arrest).</v>
      </c>
      <c r="E72" t="str">
        <f>'Walking &amp; Working Surfaces'!E46</f>
        <v>Select rating</v>
      </c>
      <c r="F72">
        <f>'Walking &amp; Working Surfaces'!F46</f>
        <v>0</v>
      </c>
      <c r="G72">
        <f>'Walking &amp; Working Surfaces'!G46</f>
        <v>6</v>
      </c>
      <c r="H72">
        <f>'Walking &amp; Working Surfaces'!H46</f>
        <v>0</v>
      </c>
      <c r="I72">
        <f>'Walking &amp; Working Surfaces'!I46</f>
        <v>0</v>
      </c>
      <c r="J72" t="str">
        <f>'Walking &amp; Working Surfaces'!J46</f>
        <v>29 CFR 1910.29(j)</v>
      </c>
      <c r="K72">
        <f>IF('Walking &amp; Working Surfaces'!E46="Very High",5,IF('Walking &amp; Working Surfaces'!E46="High",4,IF('Walking &amp; Working Surfaces'!E46="Moderate",3,IF('Walking &amp; Working Surfaces'!E46="Low",2,IF('Walking &amp; Working Surfaces'!E46="Observation",1,0)))))</f>
        <v>0</v>
      </c>
      <c r="L72">
        <f>'Walking &amp; Working Surfaces'!K46</f>
        <v>0</v>
      </c>
    </row>
    <row r="73" spans="1:12" ht="15" customHeight="1" x14ac:dyDescent="0.45">
      <c r="A73" t="s">
        <v>1553</v>
      </c>
      <c r="B73" t="str">
        <f>'Walking &amp; Working Surfaces'!A48</f>
        <v>WW-22</v>
      </c>
      <c r="C73" t="str">
        <f>'Walking &amp; Working Surfaces'!B48</f>
        <v>Fall Protection Training</v>
      </c>
      <c r="D73" t="str">
        <f>'Walking &amp; Working Surfaces'!C48</f>
        <v>Before being exposed to a fall hazard, each employee must be trained by a qualified person in: (1) The nature of fall hazards in the work area; (2) The correct procedures for installing, inspecting, operating, maintaining, and disassembling the personal fall protection systems to be used; (3) The use and operation of the walking-working surfaces, guardrail systems, and personal fall protection systems; (4) The correct procedures for equipment and materials handling in work area; (5) The maximum intended load-carrying capacities of the equipment to be used. Retraining is required when the employer has reason to believe an employee lacks the required understanding or when equipment or surfaces change.</v>
      </c>
      <c r="E73" t="str">
        <f>'Walking &amp; Working Surfaces'!E48</f>
        <v>Select rating</v>
      </c>
      <c r="F73">
        <f>'Walking &amp; Working Surfaces'!F48</f>
        <v>0</v>
      </c>
      <c r="G73">
        <f>'Walking &amp; Working Surfaces'!G48</f>
        <v>8</v>
      </c>
      <c r="H73">
        <f>'Walking &amp; Working Surfaces'!H48</f>
        <v>0</v>
      </c>
      <c r="I73">
        <f>'Walking &amp; Working Surfaces'!I48</f>
        <v>0</v>
      </c>
      <c r="J73" t="str">
        <f>'Walking &amp; Working Surfaces'!J48</f>
        <v>29 CFR 1910.30(a)-(d)</v>
      </c>
      <c r="K73">
        <f>IF('Walking &amp; Working Surfaces'!E48="Very High",5,IF('Walking &amp; Working Surfaces'!E48="High",4,IF('Walking &amp; Working Surfaces'!E48="Moderate",3,IF('Walking &amp; Working Surfaces'!E48="Low",2,IF('Walking &amp; Working Surfaces'!E48="Observation",1,0)))))</f>
        <v>0</v>
      </c>
      <c r="L73">
        <f>'Walking &amp; Working Surfaces'!K48</f>
        <v>0</v>
      </c>
    </row>
    <row r="74" spans="1:12" ht="15" customHeight="1" x14ac:dyDescent="0.45">
      <c r="A74" t="s">
        <v>104</v>
      </c>
      <c r="B74" t="str">
        <f>Recordkeeping!A19</f>
        <v>RK-1</v>
      </c>
      <c r="C74" t="str">
        <f>Recordkeeping!B19</f>
        <v>Recordkeeping Requirements</v>
      </c>
      <c r="D74" t="str">
        <f>Recordkeeping!C19</f>
        <v>Employer records work-related fatalities, injuries, and illnesses on the OSHA 300 Log.</v>
      </c>
      <c r="E74" t="str">
        <f>Recordkeeping!E19</f>
        <v>Select rating</v>
      </c>
      <c r="F74">
        <f>Recordkeeping!F19</f>
        <v>0</v>
      </c>
      <c r="G74">
        <f>Recordkeeping!G19</f>
        <v>10</v>
      </c>
      <c r="H74">
        <f>Recordkeeping!H19</f>
        <v>0</v>
      </c>
      <c r="I74">
        <f>Recordkeeping!I19</f>
        <v>0</v>
      </c>
      <c r="J74" t="str">
        <f>Recordkeeping!J19</f>
        <v>29 CFR 1904.4(a)</v>
      </c>
      <c r="K74">
        <f>IF(Recordkeeping!E19="Very High",5,IF(Recordkeeping!E19="High",4,IF(Recordkeeping!E19="Moderate",3,IF(Recordkeeping!E19="Low",2,IF(Recordkeeping!E19="Observation",1,0)))))</f>
        <v>0</v>
      </c>
      <c r="L74">
        <f>Recordkeeping!K19</f>
        <v>0</v>
      </c>
    </row>
    <row r="75" spans="1:12" ht="15" customHeight="1" x14ac:dyDescent="0.45">
      <c r="A75" t="s">
        <v>104</v>
      </c>
      <c r="B75" t="str">
        <f>Recordkeeping!A20</f>
        <v>RK-2</v>
      </c>
      <c r="C75" t="str">
        <f>Recordkeeping!B20</f>
        <v>Recordkeeping Requirements</v>
      </c>
      <c r="D75" t="str">
        <f>Recordkeeping!C20</f>
        <v>Employer uses the correct OSHA forms: OSHA 300 Log of Work-Related Injuries and Illnesses, OSHA 300-A Summary of Work-Related Injuries and Illnesses, and OSHA 301 Injury and Illness Incident Report (or an approved equivalent).</v>
      </c>
      <c r="E75" t="str">
        <f>Recordkeeping!E20</f>
        <v>Select rating</v>
      </c>
      <c r="F75">
        <f>Recordkeeping!F20</f>
        <v>0</v>
      </c>
      <c r="G75">
        <f>Recordkeeping!G20</f>
        <v>8</v>
      </c>
      <c r="H75">
        <f>Recordkeeping!H20</f>
        <v>0</v>
      </c>
      <c r="I75">
        <f>Recordkeeping!I20</f>
        <v>0</v>
      </c>
      <c r="J75" t="str">
        <f>Recordkeeping!J20</f>
        <v>29 CFR 1904.29(a),(b)(4)</v>
      </c>
      <c r="K75">
        <f>IF(Recordkeeping!E20="Very High",5,IF(Recordkeeping!E20="High",4,IF(Recordkeeping!E20="Moderate",3,IF(Recordkeeping!E20="Low",2,IF(Recordkeeping!E20="Observation",1,0)))))</f>
        <v>0</v>
      </c>
      <c r="L75">
        <f>Recordkeeping!K20</f>
        <v>0</v>
      </c>
    </row>
    <row r="76" spans="1:12" ht="15" customHeight="1" x14ac:dyDescent="0.45">
      <c r="A76" t="s">
        <v>104</v>
      </c>
      <c r="B76" t="str">
        <f>Recordkeeping!A21</f>
        <v>RK-3</v>
      </c>
      <c r="C76" t="str">
        <f>Recordkeeping!B21</f>
        <v>Recordkeeping Requirements</v>
      </c>
      <c r="D76" t="str">
        <f>Recordkeeping!C21</f>
        <v>Each recordable injury/illness is entered on the OSHA 300 Log within 7 calendar days of the employer receiving information that a recordable case has occurred.</v>
      </c>
      <c r="E76" t="str">
        <f>Recordkeeping!E21</f>
        <v>Select rating</v>
      </c>
      <c r="F76">
        <f>Recordkeeping!F21</f>
        <v>0</v>
      </c>
      <c r="G76">
        <f>Recordkeeping!G21</f>
        <v>10</v>
      </c>
      <c r="H76">
        <f>Recordkeeping!H21</f>
        <v>0</v>
      </c>
      <c r="I76">
        <f>Recordkeeping!I21</f>
        <v>0</v>
      </c>
      <c r="J76" t="str">
        <f>Recordkeeping!J21</f>
        <v>29 CFR 1904.29(b)(3)</v>
      </c>
      <c r="K76">
        <f>IF(Recordkeeping!E21="Very High",5,IF(Recordkeeping!E21="High",4,IF(Recordkeeping!E21="Moderate",3,IF(Recordkeeping!E21="Low",2,IF(Recordkeeping!E21="Observation",1,0)))))</f>
        <v>0</v>
      </c>
      <c r="L76">
        <f>Recordkeeping!K21</f>
        <v>0</v>
      </c>
    </row>
    <row r="77" spans="1:12" ht="15" customHeight="1" x14ac:dyDescent="0.45">
      <c r="A77" t="s">
        <v>104</v>
      </c>
      <c r="B77" t="str">
        <f>Recordkeeping!A22</f>
        <v>RK-4</v>
      </c>
      <c r="C77" t="str">
        <f>Recordkeeping!B22</f>
        <v>Recordkeeping Requirements</v>
      </c>
      <c r="D77" t="str">
        <f>Recordkeeping!C22</f>
        <v>Computer-based recordkeeping systems are acceptable only if they can produce the equivalent OSHA 300, 300-A, and 301 forms when needed.</v>
      </c>
      <c r="E77" t="str">
        <f>Recordkeeping!E22</f>
        <v>Select rating</v>
      </c>
      <c r="F77">
        <f>Recordkeeping!F22</f>
        <v>0</v>
      </c>
      <c r="G77">
        <f>Recordkeeping!G22</f>
        <v>5</v>
      </c>
      <c r="H77">
        <f>Recordkeeping!H22</f>
        <v>0</v>
      </c>
      <c r="I77">
        <f>Recordkeeping!I22</f>
        <v>0</v>
      </c>
      <c r="J77" t="str">
        <f>Recordkeeping!J22</f>
        <v>29 CFR 1904.29(b)(5)</v>
      </c>
      <c r="K77">
        <f>IF(Recordkeeping!E22="Very High",5,IF(Recordkeeping!E22="High",4,IF(Recordkeeping!E22="Moderate",3,IF(Recordkeeping!E22="Low",2,IF(Recordkeeping!E22="Observation",1,0)))))</f>
        <v>0</v>
      </c>
      <c r="L77">
        <f>Recordkeeping!K22</f>
        <v>0</v>
      </c>
    </row>
    <row r="78" spans="1:12" ht="15" customHeight="1" x14ac:dyDescent="0.45">
      <c r="A78" t="s">
        <v>104</v>
      </c>
      <c r="B78" t="str">
        <f>Recordkeeping!A23</f>
        <v>RK-5</v>
      </c>
      <c r="C78" t="str">
        <f>Recordkeeping!B23</f>
        <v>Recordkeeping Requirements</v>
      </c>
      <c r="D78" t="str">
        <f>Recordkeeping!C23</f>
        <v>Employee names must not be entered on the OSHA 300 Log for privacy concern cases. Privacy concern cases include: injuries/illnesses affecting an intimate body part or the reproductive system; resulting from sexual assault; mental illness; HIV, hepatitis, or tuberculosis; needlestick or sharps injuries; or any illness voluntarily designated as private by the employee.</v>
      </c>
      <c r="E78" t="str">
        <f>Recordkeeping!E23</f>
        <v>Select rating</v>
      </c>
      <c r="F78">
        <f>Recordkeeping!F23</f>
        <v>0</v>
      </c>
      <c r="G78">
        <f>Recordkeeping!G23</f>
        <v>8</v>
      </c>
      <c r="H78">
        <f>Recordkeeping!H23</f>
        <v>0</v>
      </c>
      <c r="I78">
        <f>Recordkeeping!I23</f>
        <v>0</v>
      </c>
      <c r="J78" t="str">
        <f>Recordkeeping!J23</f>
        <v>29 CFR 1904.29(b)(7),(9),(10)</v>
      </c>
      <c r="K78">
        <f>IF(Recordkeeping!E23="Very High",5,IF(Recordkeeping!E23="High",4,IF(Recordkeeping!E23="Moderate",3,IF(Recordkeeping!E23="Low",2,IF(Recordkeeping!E23="Observation",1,0)))))</f>
        <v>0</v>
      </c>
      <c r="L78">
        <f>Recordkeeping!K23</f>
        <v>0</v>
      </c>
    </row>
    <row r="79" spans="1:12" ht="15" customHeight="1" x14ac:dyDescent="0.45">
      <c r="A79" t="s">
        <v>104</v>
      </c>
      <c r="B79" t="str">
        <f>Recordkeeping!A24</f>
        <v>RK-6</v>
      </c>
      <c r="C79" t="str">
        <f>Recordkeeping!B24</f>
        <v>Recordkeeping Requirements</v>
      </c>
      <c r="D79" t="str">
        <f>Recordkeeping!C24</f>
        <v>A separate, confidential list linking each privacy case number to the employee's name must be maintained and stored separately from the OSHA 300 Log.</v>
      </c>
      <c r="E79" t="str">
        <f>Recordkeeping!E24</f>
        <v>Select rating</v>
      </c>
      <c r="F79">
        <f>Recordkeeping!F24</f>
        <v>0</v>
      </c>
      <c r="G79">
        <f>Recordkeeping!G24</f>
        <v>8</v>
      </c>
      <c r="H79">
        <f>Recordkeeping!H24</f>
        <v>0</v>
      </c>
      <c r="I79">
        <f>Recordkeeping!I24</f>
        <v>0</v>
      </c>
      <c r="J79" t="str">
        <f>Recordkeeping!J24</f>
        <v>29 CFR 1904.29(b)(6)</v>
      </c>
      <c r="K79">
        <f>IF(Recordkeeping!E24="Very High",5,IF(Recordkeeping!E24="High",4,IF(Recordkeeping!E24="Moderate",3,IF(Recordkeeping!E24="Low",2,IF(Recordkeeping!E24="Observation",1,0)))))</f>
        <v>0</v>
      </c>
      <c r="L79">
        <f>Recordkeeping!K24</f>
        <v>0</v>
      </c>
    </row>
    <row r="80" spans="1:12" ht="15" customHeight="1" x14ac:dyDescent="0.45">
      <c r="A80" t="s">
        <v>104</v>
      </c>
      <c r="B80" t="str">
        <f>Recordkeeping!A25</f>
        <v>RK-7</v>
      </c>
      <c r="C80" t="str">
        <f>Recordkeeping!B25</f>
        <v>Recordkeeping Requirements</v>
      </c>
      <c r="D80" t="str">
        <f>Recordkeeping!C25</f>
        <v>If the employer has multiple business establishments, a separate OSHA 300 Log must be maintained for each establishment expected to be in operation for one year or longer.</v>
      </c>
      <c r="E80" t="str">
        <f>Recordkeeping!E25</f>
        <v>Select rating</v>
      </c>
      <c r="F80">
        <f>Recordkeeping!F25</f>
        <v>0</v>
      </c>
      <c r="G80">
        <f>Recordkeeping!G25</f>
        <v>6</v>
      </c>
      <c r="H80">
        <f>Recordkeeping!H25</f>
        <v>0</v>
      </c>
      <c r="I80">
        <f>Recordkeeping!I25</f>
        <v>0</v>
      </c>
      <c r="J80" t="str">
        <f>Recordkeeping!J25</f>
        <v>29 CFR 1904.30(a),(b)(1)</v>
      </c>
      <c r="K80">
        <f>IF(Recordkeeping!E25="Very High",5,IF(Recordkeeping!E25="High",4,IF(Recordkeeping!E25="Moderate",3,IF(Recordkeeping!E25="Low",2,IF(Recordkeeping!E25="Observation",1,0)))))</f>
        <v>0</v>
      </c>
      <c r="L80">
        <f>Recordkeeping!K25</f>
        <v>0</v>
      </c>
    </row>
    <row r="81" spans="1:12" ht="15" customHeight="1" x14ac:dyDescent="0.45">
      <c r="A81" t="s">
        <v>104</v>
      </c>
      <c r="B81" t="str">
        <f>Recordkeeping!A26</f>
        <v>RK-8</v>
      </c>
      <c r="C81" t="str">
        <f>Recordkeeping!B26</f>
        <v>Recordkeeping Requirements</v>
      </c>
      <c r="D81" t="str">
        <f>Recordkeeping!C26</f>
        <v>For short-term establishments (operating less than one year), injuries/illnesses must be recorded either on an establishment-specific log, one log covering all short-term establishments, or logs organized by division or region.</v>
      </c>
      <c r="E81" t="str">
        <f>Recordkeeping!E26</f>
        <v>Select rating</v>
      </c>
      <c r="F81">
        <f>Recordkeeping!F26</f>
        <v>0</v>
      </c>
      <c r="G81">
        <f>Recordkeeping!G26</f>
        <v>4</v>
      </c>
      <c r="H81">
        <f>Recordkeeping!H26</f>
        <v>0</v>
      </c>
      <c r="I81">
        <f>Recordkeeping!I26</f>
        <v>0</v>
      </c>
      <c r="J81" t="str">
        <f>Recordkeeping!J26</f>
        <v>29 CFR 1904.30(b)(1)-(2)</v>
      </c>
      <c r="K81">
        <f>IF(Recordkeeping!E26="Very High",5,IF(Recordkeeping!E26="High",4,IF(Recordkeeping!E26="Moderate",3,IF(Recordkeeping!E26="Low",2,IF(Recordkeeping!E26="Observation",1,0)))))</f>
        <v>0</v>
      </c>
      <c r="L81">
        <f>Recordkeeping!K26</f>
        <v>0</v>
      </c>
    </row>
    <row r="82" spans="1:12" ht="15" customHeight="1" x14ac:dyDescent="0.45">
      <c r="A82" t="s">
        <v>104</v>
      </c>
      <c r="B82" t="str">
        <f>Recordkeeping!A27</f>
        <v>RK-9</v>
      </c>
      <c r="C82" t="str">
        <f>Recordkeeping!B27</f>
        <v>Recordkeeping Requirements</v>
      </c>
      <c r="D82" t="str">
        <f>Recordkeeping!C27</f>
        <v>Employees who work at multiple locations or at no fixed location must be linked to one business establishment for recordkeeping. Injuries at another employer's establishment are recorded on that establishment's log; injuries elsewhere are recorded on the employee's home establishment log.</v>
      </c>
      <c r="E82" t="str">
        <f>Recordkeeping!E27</f>
        <v>Select rating</v>
      </c>
      <c r="F82">
        <f>Recordkeeping!F27</f>
        <v>0</v>
      </c>
      <c r="G82">
        <f>Recordkeeping!G27</f>
        <v>4</v>
      </c>
      <c r="H82">
        <f>Recordkeeping!H27</f>
        <v>0</v>
      </c>
      <c r="I82">
        <f>Recordkeeping!I27</f>
        <v>0</v>
      </c>
      <c r="J82" t="str">
        <f>Recordkeeping!J27</f>
        <v>29 CFR 1904.30(b)(3)-(4)</v>
      </c>
      <c r="K82">
        <f>IF(Recordkeeping!E27="Very High",5,IF(Recordkeeping!E27="High",4,IF(Recordkeeping!E27="Moderate",3,IF(Recordkeeping!E27="Low",2,IF(Recordkeeping!E27="Observation",1,0)))))</f>
        <v>0</v>
      </c>
      <c r="L82">
        <f>Recordkeeping!K27</f>
        <v>0</v>
      </c>
    </row>
    <row r="83" spans="1:12" ht="15" customHeight="1" x14ac:dyDescent="0.45">
      <c r="A83" t="s">
        <v>104</v>
      </c>
      <c r="B83" t="str">
        <f>Recordkeeping!A28</f>
        <v>RK-10</v>
      </c>
      <c r="C83" t="str">
        <f>Recordkeeping!B28</f>
        <v>Recordkeeping Requirements</v>
      </c>
      <c r="D83" t="str">
        <f>Recordkeeping!C28</f>
        <v>The employer must record recordable injuries/illnesses for all employees under day-to-day supervision, regardless of employment type — including labor, executive, hourly, salaried, part-time, seasonal, migrant, and temporary/staffing agency workers the site supervises.</v>
      </c>
      <c r="E83" t="str">
        <f>Recordkeeping!E28</f>
        <v>Select rating</v>
      </c>
      <c r="F83">
        <f>Recordkeeping!F28</f>
        <v>0</v>
      </c>
      <c r="G83">
        <f>Recordkeeping!G28</f>
        <v>10</v>
      </c>
      <c r="H83">
        <f>Recordkeeping!H28</f>
        <v>0</v>
      </c>
      <c r="I83">
        <f>Recordkeeping!I28</f>
        <v>0</v>
      </c>
      <c r="J83" t="str">
        <f>Recordkeeping!J28</f>
        <v>29 CFR 1904.31(a)-(b)</v>
      </c>
      <c r="K83">
        <f>IF(Recordkeeping!E28="Very High",5,IF(Recordkeeping!E28="High",4,IF(Recordkeeping!E28="Moderate",3,IF(Recordkeeping!E28="Low",2,IF(Recordkeeping!E28="Observation",1,0)))))</f>
        <v>0</v>
      </c>
      <c r="L83">
        <f>Recordkeeping!K28</f>
        <v>0</v>
      </c>
    </row>
    <row r="84" spans="1:12" ht="15" customHeight="1" x14ac:dyDescent="0.45">
      <c r="A84" t="s">
        <v>104</v>
      </c>
      <c r="B84" t="str">
        <f>Recordkeeping!A29</f>
        <v>RK-11</v>
      </c>
      <c r="C84" t="str">
        <f>Recordkeeping!B29</f>
        <v>Recordkeeping Requirements</v>
      </c>
      <c r="D84" t="str">
        <f>Recordkeeping!C29</f>
        <v>At year-end, the OSHA 300 Log must be reviewed, the 300-A Annual Summary created and certified by a company executive, and the 300-A posted February 1 through April 30 per 29 CFR 1904.32. The 300-A must contain 8 required data elements. See Evidence column checklist.</v>
      </c>
      <c r="E84" t="str">
        <f>Recordkeeping!E29</f>
        <v>Select rating</v>
      </c>
      <c r="F84">
        <f>Recordkeeping!F29</f>
        <v>0</v>
      </c>
      <c r="G84">
        <f>Recordkeeping!G29</f>
        <v>10</v>
      </c>
      <c r="H84">
        <f>Recordkeeping!H29</f>
        <v>0</v>
      </c>
      <c r="I84">
        <f>Recordkeeping!I29</f>
        <v>0</v>
      </c>
      <c r="J84" t="str">
        <f>Recordkeeping!J29</f>
        <v>29 CFR 1904.32(a),(b)(2)-(6)</v>
      </c>
      <c r="K84">
        <f>IF(Recordkeeping!E29="Very High",5,IF(Recordkeeping!E29="High",4,IF(Recordkeeping!E29="Moderate",3,IF(Recordkeeping!E29="Low",2,IF(Recordkeeping!E29="Observation",1,0)))))</f>
        <v>0</v>
      </c>
      <c r="L84">
        <f>Recordkeeping!K29</f>
        <v>0</v>
      </c>
    </row>
    <row r="85" spans="1:12" ht="15" customHeight="1" x14ac:dyDescent="0.45">
      <c r="A85" t="s">
        <v>104</v>
      </c>
      <c r="B85" t="str">
        <f>Recordkeeping!A30</f>
        <v>RK-12</v>
      </c>
      <c r="C85" t="str">
        <f>Recordkeeping!B30</f>
        <v>Recordkeeping Requirements</v>
      </c>
      <c r="D85" t="str">
        <f>Recordkeeping!C30</f>
        <v>The employer must retain OSHA 300 Logs, 300-A Annual Summaries, 301 Incident Report Forms, and the privacy case list for 5 years following the end of the calendar year covered.</v>
      </c>
      <c r="E85" t="str">
        <f>Recordkeeping!E30</f>
        <v>Select rating</v>
      </c>
      <c r="F85">
        <f>Recordkeeping!F30</f>
        <v>0</v>
      </c>
      <c r="G85">
        <f>Recordkeeping!G30</f>
        <v>8</v>
      </c>
      <c r="H85">
        <f>Recordkeeping!H30</f>
        <v>0</v>
      </c>
      <c r="I85">
        <f>Recordkeeping!I30</f>
        <v>0</v>
      </c>
      <c r="J85" t="str">
        <f>Recordkeeping!J30</f>
        <v>29 CFR 1904.33(a)</v>
      </c>
      <c r="K85">
        <f>IF(Recordkeeping!E30="Very High",5,IF(Recordkeeping!E30="High",4,IF(Recordkeeping!E30="Moderate",3,IF(Recordkeeping!E30="Low",2,IF(Recordkeeping!E30="Observation",1,0)))))</f>
        <v>0</v>
      </c>
      <c r="L85">
        <f>Recordkeeping!K30</f>
        <v>0</v>
      </c>
    </row>
    <row r="86" spans="1:12" ht="15" customHeight="1" x14ac:dyDescent="0.45">
      <c r="A86" t="s">
        <v>104</v>
      </c>
      <c r="B86" t="str">
        <f>Recordkeeping!A31</f>
        <v>RK-13</v>
      </c>
      <c r="C86" t="str">
        <f>Recordkeeping!B31</f>
        <v>Recordkeeping Requirements</v>
      </c>
      <c r="D86" t="str">
        <f>Recordkeeping!C31</f>
        <v>The OSHA 300 Log must be updated during the 5-year retention period to reflect any newly discovered recordable cases or changes in the classification, description, or outcome of previously recorded cases. Changes are made by lining out the original entry and entering the new information.</v>
      </c>
      <c r="E86" t="str">
        <f>Recordkeeping!E31</f>
        <v>Select rating</v>
      </c>
      <c r="F86">
        <f>Recordkeeping!F31</f>
        <v>0</v>
      </c>
      <c r="G86">
        <f>Recordkeeping!G31</f>
        <v>6</v>
      </c>
      <c r="H86">
        <f>Recordkeeping!H31</f>
        <v>0</v>
      </c>
      <c r="I86">
        <f>Recordkeeping!I31</f>
        <v>0</v>
      </c>
      <c r="J86" t="str">
        <f>Recordkeeping!J31</f>
        <v>29 CFR 1904.33(b)(1)</v>
      </c>
      <c r="K86">
        <f>IF(Recordkeeping!E31="Very High",5,IF(Recordkeeping!E31="High",4,IF(Recordkeeping!E31="Moderate",3,IF(Recordkeeping!E31="Low",2,IF(Recordkeeping!E31="Observation",1,0)))))</f>
        <v>0</v>
      </c>
      <c r="L86">
        <f>Recordkeeping!K31</f>
        <v>0</v>
      </c>
    </row>
    <row r="87" spans="1:12" ht="15" customHeight="1" x14ac:dyDescent="0.45">
      <c r="A87" t="s">
        <v>104</v>
      </c>
      <c r="B87" t="str">
        <f>Recordkeeping!A32</f>
        <v>RK-14</v>
      </c>
      <c r="C87" t="str">
        <f>Recordkeeping!B32</f>
        <v>Recordkeeping Requirements</v>
      </c>
      <c r="D87" t="str">
        <f>Recordkeeping!C32</f>
        <v>If the business changed ownership during the calendar year, the original owner must record and report work-related injuries and illnesses only for the period it owned the establishment and must transfer all records to the new owner.</v>
      </c>
      <c r="E87" t="str">
        <f>Recordkeeping!E32</f>
        <v>Select rating</v>
      </c>
      <c r="F87">
        <f>Recordkeeping!F32</f>
        <v>0</v>
      </c>
      <c r="G87">
        <f>Recordkeeping!G32</f>
        <v>4</v>
      </c>
      <c r="H87">
        <f>Recordkeeping!H32</f>
        <v>0</v>
      </c>
      <c r="I87">
        <f>Recordkeeping!I32</f>
        <v>0</v>
      </c>
      <c r="J87" t="str">
        <f>Recordkeeping!J32</f>
        <v>29 CFR 1904.34</v>
      </c>
      <c r="K87">
        <f>IF(Recordkeeping!E32="Very High",5,IF(Recordkeeping!E32="High",4,IF(Recordkeeping!E32="Moderate",3,IF(Recordkeeping!E32="Low",2,IF(Recordkeeping!E32="Observation",1,0)))))</f>
        <v>0</v>
      </c>
      <c r="L87">
        <f>Recordkeeping!K32</f>
        <v>0</v>
      </c>
    </row>
    <row r="88" spans="1:12" ht="15" customHeight="1" x14ac:dyDescent="0.45">
      <c r="A88" t="s">
        <v>104</v>
      </c>
      <c r="B88" t="str">
        <f>Recordkeeping!A33</f>
        <v>RK-15</v>
      </c>
      <c r="C88" t="str">
        <f>Recordkeeping!B33</f>
        <v>Recordkeeping Requirements</v>
      </c>
      <c r="D88" t="str">
        <f>Recordkeeping!C33</f>
        <v>Employees and their representatives have the right to access injury and illness records. The employer must: (1) Inform employees how to report an injury/illness promptly and accurately. (2) Inform employees they have the right to report without retaliation. (3) Not discharge or discriminate against employees for reporting. (4) Provide a copy of the 300 Log by end of next business day when requested. (5) Provide a copy of the 301 for their own case by end of next business day. (6) Not charge a fee for the first copy.</v>
      </c>
      <c r="E88" t="str">
        <f>Recordkeeping!E33</f>
        <v>Select rating</v>
      </c>
      <c r="F88">
        <f>Recordkeeping!F33</f>
        <v>0</v>
      </c>
      <c r="G88">
        <f>Recordkeeping!G33</f>
        <v>6</v>
      </c>
      <c r="H88">
        <f>Recordkeeping!H33</f>
        <v>0</v>
      </c>
      <c r="I88">
        <f>Recordkeeping!I33</f>
        <v>0</v>
      </c>
      <c r="J88" t="str">
        <f>Recordkeeping!J33</f>
        <v>29 CFR 1904.35</v>
      </c>
      <c r="K88">
        <f>IF(Recordkeeping!E33="Very High",5,IF(Recordkeeping!E33="High",4,IF(Recordkeeping!E33="Moderate",3,IF(Recordkeeping!E33="Low",2,IF(Recordkeeping!E33="Observation",1,0)))))</f>
        <v>0</v>
      </c>
      <c r="L88">
        <f>Recordkeeping!K33</f>
        <v>0</v>
      </c>
    </row>
    <row r="89" spans="1:12" ht="15" customHeight="1" x14ac:dyDescent="0.45">
      <c r="A89" t="s">
        <v>104</v>
      </c>
      <c r="B89" t="str">
        <f>Recordkeeping!A34</f>
        <v>RK-16</v>
      </c>
      <c r="C89" t="str">
        <f>Recordkeeping!B34</f>
        <v>Recordkeeping Requirements</v>
      </c>
      <c r="D89" t="str">
        <f>Recordkeeping!C34</f>
        <v>The employer must report to OSHA (or the State Plan equivalent) within 8 hours: any work-related employee fatality. Within 24 hours: any work-related in-patient hospitalization of one or more employees; any work-related amputation; any work-related loss of an eye. Reports may be made by phone to the nearest OSHA Area Office, by phone to 1-800-321-OSHA, or online at osha.gov.</v>
      </c>
      <c r="E89" t="str">
        <f>Recordkeeping!E34</f>
        <v>Select rating</v>
      </c>
      <c r="F89">
        <f>Recordkeeping!F34</f>
        <v>0</v>
      </c>
      <c r="G89">
        <f>Recordkeeping!G34</f>
        <v>10</v>
      </c>
      <c r="H89">
        <f>Recordkeeping!H34</f>
        <v>0</v>
      </c>
      <c r="I89">
        <f>Recordkeeping!I34</f>
        <v>0</v>
      </c>
      <c r="J89" t="str">
        <f>Recordkeeping!J34</f>
        <v>29 CFR 1904.39(a)</v>
      </c>
      <c r="K89">
        <f>IF(Recordkeeping!E34="Very High",5,IF(Recordkeeping!E34="High",4,IF(Recordkeeping!E34="Moderate",3,IF(Recordkeeping!E34="Low",2,IF(Recordkeeping!E34="Observation",1,0)))))</f>
        <v>0</v>
      </c>
      <c r="L89">
        <f>Recordkeeping!K34</f>
        <v>0</v>
      </c>
    </row>
    <row r="90" spans="1:12" ht="15" customHeight="1" x14ac:dyDescent="0.45">
      <c r="A90" t="s">
        <v>104</v>
      </c>
      <c r="B90" t="str">
        <f>Recordkeeping!A35</f>
        <v>RK-17</v>
      </c>
      <c r="C90" t="str">
        <f>Recordkeeping!B35</f>
        <v>Recordkeeping Requirements</v>
      </c>
      <c r="D90" t="str">
        <f>Recordkeeping!C35</f>
        <v>The employer must provide copies of the OSHA 300 Log, 300-A, and 301 forms to any authorized government representative (OSHA, NIOSH, or State Plan representative) conducting an inspection or investigation within 4 business hours of the request.</v>
      </c>
      <c r="E90" t="str">
        <f>Recordkeeping!E35</f>
        <v>Select rating</v>
      </c>
      <c r="F90">
        <f>Recordkeeping!F35</f>
        <v>0</v>
      </c>
      <c r="G90">
        <f>Recordkeeping!G35</f>
        <v>8</v>
      </c>
      <c r="H90">
        <f>Recordkeeping!H35</f>
        <v>0</v>
      </c>
      <c r="I90">
        <f>Recordkeeping!I35</f>
        <v>0</v>
      </c>
      <c r="J90" t="str">
        <f>Recordkeeping!J35</f>
        <v>29 CFR 1904.40(a); 1904.7</v>
      </c>
      <c r="K90">
        <f>IF(Recordkeeping!E35="Very High",5,IF(Recordkeeping!E35="High",4,IF(Recordkeeping!E35="Moderate",3,IF(Recordkeeping!E35="Low",2,IF(Recordkeeping!E35="Observation",1,0)))))</f>
        <v>0</v>
      </c>
      <c r="L90">
        <f>Recordkeeping!K35</f>
        <v>0</v>
      </c>
    </row>
    <row r="91" spans="1:12" ht="15" customHeight="1" x14ac:dyDescent="0.45">
      <c r="A91" t="s">
        <v>104</v>
      </c>
      <c r="B91" t="str">
        <f>Recordkeeping!A36</f>
        <v>RK-18</v>
      </c>
      <c r="C91" t="str">
        <f>Recordkeeping!B36</f>
        <v>Recordkeeping Requirements</v>
      </c>
      <c r="D91" t="str">
        <f>Recordkeeping!C36</f>
        <v>Covered employers must submit their OSHA 300-A data electronically through OSHA's Injury Tracking Application (ITA) by March 2 of the year following the calendar year covered. Coverage depends on establishment size and industry: establishments with 250+ employees must submit 300-A annually; establishments with 20-249 employees in high-hazard industries must also submit; all establishments must submit if notified individually by OSHA.</v>
      </c>
      <c r="E91" t="str">
        <f>Recordkeeping!E36</f>
        <v>Select rating</v>
      </c>
      <c r="F91">
        <f>Recordkeeping!F36</f>
        <v>0</v>
      </c>
      <c r="G91">
        <f>Recordkeeping!G36</f>
        <v>8</v>
      </c>
      <c r="H91">
        <f>Recordkeeping!H36</f>
        <v>0</v>
      </c>
      <c r="I91">
        <f>Recordkeeping!I36</f>
        <v>0</v>
      </c>
      <c r="J91" t="str">
        <f>Recordkeeping!J36</f>
        <v>29 CFR 1904.41</v>
      </c>
      <c r="K91">
        <f>IF(Recordkeeping!E36="Very High",5,IF(Recordkeeping!E36="High",4,IF(Recordkeeping!E36="Moderate",3,IF(Recordkeeping!E36="Low",2,IF(Recordkeeping!E36="Observation",1,0)))))</f>
        <v>0</v>
      </c>
      <c r="L91">
        <f>Recordkeeping!K36</f>
        <v>0</v>
      </c>
    </row>
    <row r="92" spans="1:12" ht="15" customHeight="1" x14ac:dyDescent="0.45">
      <c r="A92" t="s">
        <v>104</v>
      </c>
      <c r="B92" t="str">
        <f>Recordkeeping!A37</f>
        <v>RK-19</v>
      </c>
      <c r="C92" t="str">
        <f>Recordkeeping!B37</f>
        <v>Recordkeeping Requirements</v>
      </c>
      <c r="D92" t="str">
        <f>Recordkeeping!C37</f>
        <v>If the Bureau of Labor Statistics (BLS) notifies the employer that it has been selected to participate in the annual Survey of Occupational Injuries and Illnesses, the employer must complete and return the survey form by the deadline specified on the form.</v>
      </c>
      <c r="E92" t="str">
        <f>Recordkeeping!E37</f>
        <v>Select rating</v>
      </c>
      <c r="F92">
        <f>Recordkeeping!F37</f>
        <v>0</v>
      </c>
      <c r="G92">
        <f>Recordkeeping!G37</f>
        <v>4</v>
      </c>
      <c r="H92">
        <f>Recordkeeping!H37</f>
        <v>0</v>
      </c>
      <c r="I92">
        <f>Recordkeeping!I37</f>
        <v>0</v>
      </c>
      <c r="J92" t="str">
        <f>Recordkeeping!J37</f>
        <v>29 CFR 1904.42</v>
      </c>
      <c r="K92">
        <f>IF(Recordkeeping!E37="Very High",5,IF(Recordkeeping!E37="High",4,IF(Recordkeeping!E37="Moderate",3,IF(Recordkeeping!E37="Low",2,IF(Recordkeeping!E37="Observation",1,0)))))</f>
        <v>0</v>
      </c>
      <c r="L92">
        <f>Recordkeeping!K37</f>
        <v>0</v>
      </c>
    </row>
    <row r="93" spans="1:12" ht="15" customHeight="1" x14ac:dyDescent="0.45">
      <c r="A93" t="s">
        <v>104</v>
      </c>
      <c r="B93" t="str">
        <f>Recordkeeping!A39</f>
        <v>RK-20</v>
      </c>
      <c r="C93" t="str">
        <f>Recordkeeping!B39</f>
        <v>Recording Criteria</v>
      </c>
      <c r="D93" t="str">
        <f>Recordkeeping!C39</f>
        <v>A recordable case is one that is work-related, is a new case, AND meets one or more general recording criteria: (1) death; (2) days away from work; (3) restricted work or job transfer; (4) medical treatment beyond first aid; (5) loss of consciousness; (6) significant injury or illness diagnosed by a physician or PLHCP (including cancer, chronic irreversible disease, fractured or cracked bone, or punctured eardrum).</v>
      </c>
      <c r="E93" t="str">
        <f>Recordkeeping!E39</f>
        <v>Select rating</v>
      </c>
      <c r="F93">
        <f>Recordkeeping!F39</f>
        <v>0</v>
      </c>
      <c r="G93">
        <f>Recordkeeping!G39</f>
        <v>10</v>
      </c>
      <c r="H93">
        <f>Recordkeeping!H39</f>
        <v>0</v>
      </c>
      <c r="I93">
        <f>Recordkeeping!I39</f>
        <v>0</v>
      </c>
      <c r="J93" t="str">
        <f>Recordkeeping!J39</f>
        <v>29 CFR 1904.7</v>
      </c>
      <c r="K93">
        <f>IF(Recordkeeping!E39="Very High",5,IF(Recordkeeping!E39="High",4,IF(Recordkeeping!E39="Moderate",3,IF(Recordkeeping!E39="Low",2,IF(Recordkeeping!E39="Observation",1,0)))))</f>
        <v>0</v>
      </c>
      <c r="L93">
        <f>Recordkeeping!K39</f>
        <v>0</v>
      </c>
    </row>
    <row r="94" spans="1:12" ht="15" customHeight="1" x14ac:dyDescent="0.45">
      <c r="A94" t="s">
        <v>104</v>
      </c>
      <c r="B94" t="str">
        <f>Recordkeeping!A40</f>
        <v>RK-21</v>
      </c>
      <c r="C94" t="str">
        <f>Recordkeeping!B40</f>
        <v>Recording Criteria</v>
      </c>
      <c r="D94" t="str">
        <f>Recordkeeping!C40</f>
        <v>All injuries and illnesses that arise in the work environment are presumed work-related. Exceptions (not recordable): employee was present as a member of the general public; signs/symptoms result solely from a non-work event; voluntary participation in a wellness program; eating/drinking personal food; personal tasks outside assigned work hours; personal grooming or self-medication; motor vehicle accident on a company parking lot while commuting; the common cold or flu; mental illness (unless a licensed professional states it is work-related).</v>
      </c>
      <c r="E94" t="str">
        <f>Recordkeeping!E40</f>
        <v>Select rating</v>
      </c>
      <c r="F94">
        <f>Recordkeeping!F40</f>
        <v>0</v>
      </c>
      <c r="G94">
        <f>Recordkeeping!G40</f>
        <v>8</v>
      </c>
      <c r="H94">
        <f>Recordkeeping!H40</f>
        <v>0</v>
      </c>
      <c r="I94">
        <f>Recordkeeping!I40</f>
        <v>0</v>
      </c>
      <c r="J94" t="str">
        <f>Recordkeeping!J40</f>
        <v>29 CFR 1904.5(b)(1)-(7)</v>
      </c>
      <c r="K94">
        <f>IF(Recordkeeping!E40="Very High",5,IF(Recordkeeping!E40="High",4,IF(Recordkeeping!E40="Moderate",3,IF(Recordkeeping!E40="Low",2,IF(Recordkeeping!E40="Observation",1,0)))))</f>
        <v>0</v>
      </c>
      <c r="L94">
        <f>Recordkeeping!K40</f>
        <v>0</v>
      </c>
    </row>
    <row r="95" spans="1:12" ht="15" customHeight="1" x14ac:dyDescent="0.45">
      <c r="A95" t="s">
        <v>104</v>
      </c>
      <c r="B95" t="str">
        <f>Recordkeeping!A41</f>
        <v>RK-22</v>
      </c>
      <c r="C95" t="str">
        <f>Recordkeeping!B41</f>
        <v>Recording Criteria</v>
      </c>
      <c r="D95" t="str">
        <f>Recordkeeping!C41</f>
        <v>A new case must be recorded if: (1) the employee has not previously experienced a recorded injury/illness of the same type affecting the same part of the body, OR (2) the employee previously had such a case but had completely recovered and a new work event caused symptoms to reappear.</v>
      </c>
      <c r="E95" t="str">
        <f>Recordkeeping!E41</f>
        <v>Select rating</v>
      </c>
      <c r="F95">
        <f>Recordkeeping!F41</f>
        <v>0</v>
      </c>
      <c r="G95">
        <f>Recordkeeping!G41</f>
        <v>6</v>
      </c>
      <c r="H95">
        <f>Recordkeeping!H41</f>
        <v>0</v>
      </c>
      <c r="I95">
        <f>Recordkeeping!I41</f>
        <v>0</v>
      </c>
      <c r="J95" t="str">
        <f>Recordkeeping!J41</f>
        <v>29 CFR 1904.6</v>
      </c>
      <c r="K95">
        <f>IF(Recordkeeping!E41="Very High",5,IF(Recordkeeping!E41="High",4,IF(Recordkeeping!E41="Moderate",3,IF(Recordkeeping!E41="Low",2,IF(Recordkeeping!E41="Observation",1,0)))))</f>
        <v>0</v>
      </c>
      <c r="L95">
        <f>Recordkeeping!K41</f>
        <v>0</v>
      </c>
    </row>
    <row r="96" spans="1:12" ht="15" customHeight="1" x14ac:dyDescent="0.45">
      <c r="A96" t="s">
        <v>104</v>
      </c>
      <c r="B96" t="str">
        <f>Recordkeeping!A42</f>
        <v>RK-23</v>
      </c>
      <c r="C96" t="str">
        <f>Recordkeeping!B42</f>
        <v>Recording Criteria</v>
      </c>
      <c r="D96" t="str">
        <f>Recordkeeping!C42</f>
        <v>Needlestick and sharps injuries involving another person's blood or other potentially infectious materials (OPIM) must be recorded on the OSHA 300 Log as an injury. The employee's name must be withheld (privacy case). If the employee is later diagnosed with a bloodborne disease as a result, the record must be updated from injury to illness.</v>
      </c>
      <c r="E96" t="str">
        <f>Recordkeeping!E42</f>
        <v>Select rating</v>
      </c>
      <c r="F96">
        <f>Recordkeeping!F42</f>
        <v>0</v>
      </c>
      <c r="G96">
        <f>Recordkeeping!G42</f>
        <v>6</v>
      </c>
      <c r="H96">
        <f>Recordkeeping!H42</f>
        <v>0</v>
      </c>
      <c r="I96">
        <f>Recordkeeping!I42</f>
        <v>0</v>
      </c>
      <c r="J96" t="str">
        <f>Recordkeeping!J42</f>
        <v>29 CFR 1904.8</v>
      </c>
      <c r="K96">
        <f>IF(Recordkeeping!E42="Very High",5,IF(Recordkeeping!E42="High",4,IF(Recordkeeping!E42="Moderate",3,IF(Recordkeeping!E42="Low",2,IF(Recordkeeping!E42="Observation",1,0)))))</f>
        <v>0</v>
      </c>
      <c r="L96">
        <f>Recordkeeping!K42</f>
        <v>0</v>
      </c>
    </row>
    <row r="97" spans="1:12" ht="15" customHeight="1" x14ac:dyDescent="0.45">
      <c r="A97" t="s">
        <v>104</v>
      </c>
      <c r="B97" t="str">
        <f>Recordkeeping!A43</f>
        <v>RK-24</v>
      </c>
      <c r="C97" t="str">
        <f>Recordkeeping!B43</f>
        <v>Recording Criteria</v>
      </c>
      <c r="D97" t="str">
        <f>Recordkeeping!C43</f>
        <v>If an employee is removed from a job due to an OSHA medical removal standard (e.g., lead standard 1910.1025, cadmium standard 1910.1027, hexavalent chromium 1910.1026, noise-induced hearing loss under 1910.95), that removal must be recorded as days away from work or restricted work activity, as applicable. Chemical exposure removals must be identified as poisoning on the 300 Log.</v>
      </c>
      <c r="E97" t="str">
        <f>Recordkeeping!E43</f>
        <v>Select rating</v>
      </c>
      <c r="F97">
        <f>Recordkeeping!F43</f>
        <v>0</v>
      </c>
      <c r="G97">
        <f>Recordkeeping!G43</f>
        <v>4</v>
      </c>
      <c r="H97">
        <f>Recordkeeping!H43</f>
        <v>0</v>
      </c>
      <c r="I97">
        <f>Recordkeeping!I43</f>
        <v>0</v>
      </c>
      <c r="J97" t="str">
        <f>Recordkeeping!J43</f>
        <v>29 CFR 1904.9(b)(1)-(3)</v>
      </c>
      <c r="K97">
        <f>IF(Recordkeeping!E43="Very High",5,IF(Recordkeeping!E43="High",4,IF(Recordkeeping!E43="Moderate",3,IF(Recordkeeping!E43="Low",2,IF(Recordkeeping!E43="Observation",1,0)))))</f>
        <v>0</v>
      </c>
      <c r="L97">
        <f>Recordkeeping!K43</f>
        <v>0</v>
      </c>
    </row>
    <row r="98" spans="1:12" ht="15" customHeight="1" x14ac:dyDescent="0.45">
      <c r="A98" t="s">
        <v>104</v>
      </c>
      <c r="B98" t="str">
        <f>Recordkeeping!A44</f>
        <v>RK-25</v>
      </c>
      <c r="C98" t="str">
        <f>Recordkeeping!B44</f>
        <v>Recording Criteria</v>
      </c>
      <c r="D98" t="str">
        <f>Recordkeeping!C44</f>
        <v>Work-related hearing loss is recordable when: (1) the employee has experienced a Standard Threshold Shift (STS) — an average change in hearing threshold of 10 dB or more at 2000, 3000, and 4000 Hz in one or both ears — AND (2) the employee's total hearing level is 25 dB or more above audiometric zero (averaged at 2000, 3000, and 4000 Hz) in the same ear(s). Age adjustment is permitted for the STS but not the 25 dB level.</v>
      </c>
      <c r="E98" t="str">
        <f>Recordkeeping!E44</f>
        <v>Select rating</v>
      </c>
      <c r="F98">
        <f>Recordkeeping!F44</f>
        <v>0</v>
      </c>
      <c r="G98">
        <f>Recordkeeping!G44</f>
        <v>6</v>
      </c>
      <c r="H98">
        <f>Recordkeeping!H44</f>
        <v>0</v>
      </c>
      <c r="I98">
        <f>Recordkeeping!I44</f>
        <v>0</v>
      </c>
      <c r="J98" t="str">
        <f>Recordkeeping!J44</f>
        <v>29 CFR 1904.10</v>
      </c>
      <c r="K98">
        <f>IF(Recordkeeping!E44="Very High",5,IF(Recordkeeping!E44="High",4,IF(Recordkeeping!E44="Moderate",3,IF(Recordkeeping!E44="Low",2,IF(Recordkeeping!E44="Observation",1,0)))))</f>
        <v>0</v>
      </c>
      <c r="L98">
        <f>Recordkeeping!K44</f>
        <v>0</v>
      </c>
    </row>
    <row r="99" spans="1:12" ht="15" customHeight="1" x14ac:dyDescent="0.45">
      <c r="A99" t="s">
        <v>104</v>
      </c>
      <c r="B99" t="str">
        <f>Recordkeeping!A45</f>
        <v>RK-26</v>
      </c>
      <c r="C99" t="str">
        <f>Recordkeeping!B45</f>
        <v>Recording Criteria</v>
      </c>
      <c r="D99" t="str">
        <f>Recordkeeping!C45</f>
        <v>A work-related tuberculosis (TB) infection is recordable when: (1) the employee was occupationally exposed to a known case of active TB, AND (2) the employee subsequently develops a TB infection as evidenced by a positive skin test or diagnosis by a PLHCP.</v>
      </c>
      <c r="E99" t="str">
        <f>Recordkeeping!E45</f>
        <v>Select rating</v>
      </c>
      <c r="F99">
        <f>Recordkeeping!F45</f>
        <v>0</v>
      </c>
      <c r="G99">
        <f>Recordkeeping!G45</f>
        <v>4</v>
      </c>
      <c r="H99">
        <f>Recordkeeping!H45</f>
        <v>0</v>
      </c>
      <c r="I99">
        <f>Recordkeeping!I45</f>
        <v>0</v>
      </c>
      <c r="J99" t="str">
        <f>Recordkeeping!J45</f>
        <v>29 CFR 1904.11</v>
      </c>
      <c r="K99">
        <f>IF(Recordkeeping!E45="Very High",5,IF(Recordkeeping!E45="High",4,IF(Recordkeeping!E45="Moderate",3,IF(Recordkeeping!E45="Low",2,IF(Recordkeeping!E45="Observation",1,0)))))</f>
        <v>0</v>
      </c>
      <c r="L99">
        <f>Recordkeeping!K45</f>
        <v>0</v>
      </c>
    </row>
    <row r="100" spans="1:12" ht="15" customHeight="1" x14ac:dyDescent="0.45">
      <c r="A100" t="s">
        <v>104</v>
      </c>
      <c r="B100" t="str">
        <f>Recordkeeping!A47</f>
        <v>RK-27</v>
      </c>
      <c r="C100" t="str">
        <f>Recordkeeping!B47</f>
        <v>Limited Recordkeeping Exemptions</v>
      </c>
      <c r="D100" t="str">
        <f>Recordkeeping!C47</f>
        <v>Employers with 10 or fewer employees at all times during the entire calendar year are partially exempt from routine OSHA recordkeeping. However, even exempt employers must: (1) report fatalities, hospitalizations, amputations, and eye losses to OSHA; and (2) maintain records and respond to BLS surveys if selected.</v>
      </c>
      <c r="E100" t="str">
        <f>Recordkeeping!E47</f>
        <v>Select rating</v>
      </c>
      <c r="F100">
        <f>Recordkeeping!F47</f>
        <v>0</v>
      </c>
      <c r="G100">
        <f>Recordkeeping!G47</f>
        <v>4</v>
      </c>
      <c r="H100">
        <f>Recordkeeping!H47</f>
        <v>0</v>
      </c>
      <c r="I100">
        <f>Recordkeeping!I47</f>
        <v>0</v>
      </c>
      <c r="J100" t="str">
        <f>Recordkeeping!J47</f>
        <v>29 CFR 1904.1(a)(1)</v>
      </c>
      <c r="K100">
        <f>IF(Recordkeeping!E47="Very High",5,IF(Recordkeeping!E47="High",4,IF(Recordkeeping!E47="Moderate",3,IF(Recordkeeping!E47="Low",2,IF(Recordkeeping!E47="Observation",1,0)))))</f>
        <v>0</v>
      </c>
      <c r="L100">
        <f>Recordkeeping!K47</f>
        <v>0</v>
      </c>
    </row>
    <row r="101" spans="1:12" ht="15" customHeight="1" x14ac:dyDescent="0.45">
      <c r="A101" t="s">
        <v>104</v>
      </c>
      <c r="B101" t="str">
        <f>Recordkeeping!A48</f>
        <v>RK-28</v>
      </c>
      <c r="C101" t="str">
        <f>Recordkeeping!B48</f>
        <v>Limited Recordkeeping Exemptions</v>
      </c>
      <c r="D101" t="str">
        <f>Recordkeeping!C48</f>
        <v>Establishments classified in a low-hazard industry listed in 29 CFR 1904 Subpart B Appendix A are partially exempt from routine OSHA recordkeeping. Low-hazard industries include retail, finance, insurance, real estate, and specific service industries. Gypsum manufacturing is NOT on the exempt list.</v>
      </c>
      <c r="E101" t="str">
        <f>Recordkeeping!E48</f>
        <v>Select rating</v>
      </c>
      <c r="F101">
        <f>Recordkeeping!F48</f>
        <v>0</v>
      </c>
      <c r="G101">
        <f>Recordkeeping!G48</f>
        <v>4</v>
      </c>
      <c r="H101">
        <f>Recordkeeping!H48</f>
        <v>0</v>
      </c>
      <c r="I101">
        <f>Recordkeeping!I48</f>
        <v>0</v>
      </c>
      <c r="J101" t="str">
        <f>Recordkeeping!J48</f>
        <v>29 CFR 1904.2(a)(1); 1904.42</v>
      </c>
      <c r="K101">
        <f>IF(Recordkeeping!E48="Very High",5,IF(Recordkeeping!E48="High",4,IF(Recordkeeping!E48="Moderate",3,IF(Recordkeeping!E48="Low",2,IF(Recordkeeping!E48="Observation",1,0)))))</f>
        <v>0</v>
      </c>
      <c r="L101">
        <f>Recordkeeping!K48</f>
        <v>0</v>
      </c>
    </row>
    <row r="102" spans="1:12" ht="15" customHeight="1" x14ac:dyDescent="0.45">
      <c r="A102" t="s">
        <v>104</v>
      </c>
      <c r="B102" t="str">
        <f>Recordkeeping!A50</f>
        <v>RK-29</v>
      </c>
      <c r="C102" t="str">
        <f>Recordkeeping!B50</f>
        <v>Posting Requirements</v>
      </c>
      <c r="D102" t="str">
        <f>Recordkeeping!C50</f>
        <v>The OSHA 'Job Safety and Health: It's the Law' poster (or the applicable State Plan equivalent) must be posted in a conspicuous place where notices to employees are customarily posted. The poster must not be defaced, destroyed, or covered. Reproductions and facsimiles are acceptable if at least 8.5 x 14 inches with 10-point print.</v>
      </c>
      <c r="E102" t="str">
        <f>Recordkeeping!E50</f>
        <v>Select rating</v>
      </c>
      <c r="F102">
        <f>Recordkeeping!F50</f>
        <v>0</v>
      </c>
      <c r="G102">
        <f>Recordkeeping!G50</f>
        <v>5</v>
      </c>
      <c r="H102">
        <f>Recordkeeping!H50</f>
        <v>0</v>
      </c>
      <c r="I102">
        <f>Recordkeeping!I50</f>
        <v>0</v>
      </c>
      <c r="J102" t="str">
        <f>Recordkeeping!J50</f>
        <v>29 CFR 1903.2(a)(1)-(3)</v>
      </c>
      <c r="K102">
        <f>IF(Recordkeeping!E50="Very High",5,IF(Recordkeeping!E50="High",4,IF(Recordkeeping!E50="Moderate",3,IF(Recordkeeping!E50="Low",2,IF(Recordkeeping!E50="Observation",1,0)))))</f>
        <v>0</v>
      </c>
      <c r="L102">
        <f>Recordkeeping!K50</f>
        <v>0</v>
      </c>
    </row>
    <row r="103" spans="1:12" ht="15" customHeight="1" x14ac:dyDescent="0.45">
      <c r="A103" t="s">
        <v>104</v>
      </c>
      <c r="B103" t="str">
        <f>Recordkeeping!A51</f>
        <v>RK-30</v>
      </c>
      <c r="C103" t="str">
        <f>Recordkeeping!B51</f>
        <v>Posting Requirements</v>
      </c>
      <c r="D103" t="str">
        <f>Recordkeeping!C51</f>
        <v>If an employer obtains copies of OSHA regulations or applicable standards, those copies must be made available for inspection and copying by any employee or authorized representative at the establishment where the employee is employed, on the same day a request is made.</v>
      </c>
      <c r="E103" t="str">
        <f>Recordkeeping!E51</f>
        <v>Select rating</v>
      </c>
      <c r="F103">
        <f>Recordkeeping!F51</f>
        <v>0</v>
      </c>
      <c r="G103">
        <f>Recordkeeping!G51</f>
        <v>3</v>
      </c>
      <c r="H103">
        <f>Recordkeeping!H51</f>
        <v>0</v>
      </c>
      <c r="I103">
        <f>Recordkeeping!I51</f>
        <v>0</v>
      </c>
      <c r="J103" t="str">
        <f>Recordkeeping!J51</f>
        <v>29 CFR 1903.2(c)</v>
      </c>
      <c r="K103">
        <f>IF(Recordkeeping!E51="Very High",5,IF(Recordkeeping!E51="High",4,IF(Recordkeeping!E51="Moderate",3,IF(Recordkeeping!E51="Low",2,IF(Recordkeeping!E51="Observation",1,0)))))</f>
        <v>0</v>
      </c>
      <c r="L103">
        <f>Recordkeeping!K51</f>
        <v>0</v>
      </c>
    </row>
    <row r="104" spans="1:12" ht="15" customHeight="1" x14ac:dyDescent="0.45">
      <c r="A104" t="s">
        <v>104</v>
      </c>
      <c r="B104" t="str">
        <f>Recordkeeping!A53</f>
        <v>RK-31</v>
      </c>
      <c r="C104" t="str">
        <f>Recordkeeping!B53</f>
        <v>Posting of Citations &amp; Abatement</v>
      </c>
      <c r="D104" t="str">
        <f>Recordkeeping!C53</f>
        <v>Immediately upon receipt of any OSHA citation, the employer must post an unedited copy of the citation at or near each place where the alleged violation occurred. The citation must remain posted until the violation has been abated OR for 3 working days — whichever is longer. The citation must remain posted even while being contested.</v>
      </c>
      <c r="E104" t="str">
        <f>Recordkeeping!E53</f>
        <v>Select rating</v>
      </c>
      <c r="F104">
        <f>Recordkeeping!F53</f>
        <v>0</v>
      </c>
      <c r="G104">
        <f>Recordkeeping!G53</f>
        <v>4</v>
      </c>
      <c r="H104">
        <f>Recordkeeping!H53</f>
        <v>0</v>
      </c>
      <c r="I104">
        <f>Recordkeeping!I53</f>
        <v>0</v>
      </c>
      <c r="J104" t="str">
        <f>Recordkeeping!J53</f>
        <v>29 CFR 1903.16</v>
      </c>
      <c r="K104">
        <f>IF(Recordkeeping!E53="Very High",5,IF(Recordkeeping!E53="High",4,IF(Recordkeeping!E53="Moderate",3,IF(Recordkeeping!E53="Low",2,IF(Recordkeeping!E53="Observation",1,0)))))</f>
        <v>0</v>
      </c>
      <c r="L104">
        <f>Recordkeeping!K53</f>
        <v>0</v>
      </c>
    </row>
    <row r="105" spans="1:12" ht="15" customHeight="1" x14ac:dyDescent="0.45">
      <c r="A105" t="s">
        <v>104</v>
      </c>
      <c r="B105" t="str">
        <f>Recordkeeping!A54</f>
        <v>RK-32</v>
      </c>
      <c r="C105" t="str">
        <f>Recordkeeping!B54</f>
        <v>Posting of Citations &amp; Abatement</v>
      </c>
      <c r="D105" t="str">
        <f>Recordkeeping!C54</f>
        <v>For serious, repeat, and willful violations involving movable equipment, the employer must attach a warning tag (or a copy of the citation) to the operating controls or cited component before the equipment moves within or between worksites. The tag must identify the nature of the violation and the location of the citation.</v>
      </c>
      <c r="E105" t="str">
        <f>Recordkeeping!E54</f>
        <v>Select rating</v>
      </c>
      <c r="F105">
        <f>Recordkeeping!F54</f>
        <v>0</v>
      </c>
      <c r="G105">
        <f>Recordkeeping!G54</f>
        <v>4</v>
      </c>
      <c r="H105">
        <f>Recordkeeping!H54</f>
        <v>0</v>
      </c>
      <c r="I105">
        <f>Recordkeeping!I54</f>
        <v>0</v>
      </c>
      <c r="J105" t="str">
        <f>Recordkeeping!J54</f>
        <v>29 CFR 1903.19(i)</v>
      </c>
      <c r="K105">
        <f>IF(Recordkeeping!E54="Very High",5,IF(Recordkeeping!E54="High",4,IF(Recordkeeping!E54="Moderate",3,IF(Recordkeeping!E54="Low",2,IF(Recordkeeping!E54="Observation",1,0)))))</f>
        <v>0</v>
      </c>
      <c r="L105">
        <f>Recordkeeping!K54</f>
        <v>0</v>
      </c>
    </row>
    <row r="106" spans="1:12" ht="15" customHeight="1" x14ac:dyDescent="0.45">
      <c r="A106" t="s">
        <v>104</v>
      </c>
      <c r="B106" t="str">
        <f>Recordkeeping!A55</f>
        <v>RK-33</v>
      </c>
      <c r="C106" t="str">
        <f>Recordkeeping!B55</f>
        <v>Posting of Citations &amp; Abatement</v>
      </c>
      <c r="D106" t="str">
        <f>Recordkeeping!C55</f>
        <v>Cited violations must be abated by the date set in the citation or as extended by OSHA. Within 10 calendar days after the abatement date, the employer must certify to OSHA in writing that each cited violation has been abated. For willful/repeat violations and serious violations requiring abatement documentation, the employer must also submit supporting evidence (photos, receipts, records).</v>
      </c>
      <c r="E106" t="str">
        <f>Recordkeeping!E55</f>
        <v>Select rating</v>
      </c>
      <c r="F106">
        <f>Recordkeeping!F55</f>
        <v>0</v>
      </c>
      <c r="G106">
        <f>Recordkeeping!G55</f>
        <v>6</v>
      </c>
      <c r="H106">
        <f>Recordkeeping!H55</f>
        <v>0</v>
      </c>
      <c r="I106">
        <f>Recordkeeping!I55</f>
        <v>0</v>
      </c>
      <c r="J106" t="str">
        <f>Recordkeeping!J55</f>
        <v>29 CFR 1903.19(c)-(f)</v>
      </c>
      <c r="K106">
        <f>IF(Recordkeeping!E55="Very High",5,IF(Recordkeeping!E55="High",4,IF(Recordkeeping!E55="Moderate",3,IF(Recordkeeping!E55="Low",2,IF(Recordkeeping!E55="Observation",1,0)))))</f>
        <v>0</v>
      </c>
      <c r="L106">
        <f>Recordkeeping!K55</f>
        <v>0</v>
      </c>
    </row>
    <row r="107" spans="1:12" ht="15" customHeight="1" x14ac:dyDescent="0.45">
      <c r="A107" t="s">
        <v>104</v>
      </c>
      <c r="B107" t="str">
        <f>Recordkeeping!A56</f>
        <v>RK-34</v>
      </c>
      <c r="C107" t="str">
        <f>Recordkeeping!B56</f>
        <v>Posting of Citations &amp; Abatement</v>
      </c>
      <c r="D107" t="str">
        <f>Recordkeeping!C56</f>
        <v>All required abatement submissions to OSHA must include: (1) employer name and address; (2) inspection number; (3) citation and item numbers; (4) a statement that the information is accurate; and (5) the employer's signature and authorized representative's signature.</v>
      </c>
      <c r="E107" t="str">
        <f>Recordkeeping!E56</f>
        <v>Select rating</v>
      </c>
      <c r="F107">
        <f>Recordkeeping!F56</f>
        <v>0</v>
      </c>
      <c r="G107">
        <f>Recordkeeping!G56</f>
        <v>4</v>
      </c>
      <c r="H107">
        <f>Recordkeeping!H56</f>
        <v>0</v>
      </c>
      <c r="I107">
        <f>Recordkeeping!I56</f>
        <v>0</v>
      </c>
      <c r="J107" t="str">
        <f>Recordkeeping!J56</f>
        <v>29 CFR 1903.19(h)</v>
      </c>
      <c r="K107">
        <f>IF(Recordkeeping!E56="Very High",5,IF(Recordkeeping!E56="High",4,IF(Recordkeeping!E56="Moderate",3,IF(Recordkeeping!E56="Low",2,IF(Recordkeeping!E56="Observation",1,0)))))</f>
        <v>0</v>
      </c>
      <c r="L107">
        <f>Recordkeeping!K56</f>
        <v>0</v>
      </c>
    </row>
    <row r="108" spans="1:12" ht="15" customHeight="1" x14ac:dyDescent="0.45">
      <c r="A108" t="s">
        <v>104</v>
      </c>
      <c r="B108" t="str">
        <f>Recordkeeping!A57</f>
        <v>RK-35</v>
      </c>
      <c r="C108" t="str">
        <f>Recordkeeping!B57</f>
        <v>Posting of Citations &amp; Abatement</v>
      </c>
      <c r="D108" t="str">
        <f>Recordkeeping!C57</f>
        <v>The employer must inform affected employees and their representatives about all abatement activities by posting a copy (or summary) of each submission near the violation location for at least 3 working days. Employees must also be informed of their right to examine and copy abatement documents.</v>
      </c>
      <c r="E108" t="str">
        <f>Recordkeeping!E57</f>
        <v>Select rating</v>
      </c>
      <c r="F108">
        <f>Recordkeeping!F57</f>
        <v>0</v>
      </c>
      <c r="G108">
        <f>Recordkeeping!G57</f>
        <v>4</v>
      </c>
      <c r="H108">
        <f>Recordkeeping!H57</f>
        <v>0</v>
      </c>
      <c r="I108">
        <f>Recordkeeping!I57</f>
        <v>0</v>
      </c>
      <c r="J108" t="str">
        <f>Recordkeeping!J57</f>
        <v>29 CFR 1903.19(g)</v>
      </c>
      <c r="K108">
        <f>IF(Recordkeeping!E57="Very High",5,IF(Recordkeeping!E57="High",4,IF(Recordkeeping!E57="Moderate",3,IF(Recordkeeping!E57="Low",2,IF(Recordkeeping!E57="Observation",1,0)))))</f>
        <v>0</v>
      </c>
      <c r="L108">
        <f>Recordkeeping!K57</f>
        <v>0</v>
      </c>
    </row>
    <row r="109" spans="1:12" ht="15" customHeight="1" x14ac:dyDescent="0.45">
      <c r="A109" t="s">
        <v>104</v>
      </c>
      <c r="B109" t="str">
        <f>Recordkeeping!A59</f>
        <v>RK-36</v>
      </c>
      <c r="C109" t="str">
        <f>Recordkeeping!B59</f>
        <v>State &amp; Local Requirements</v>
      </c>
      <c r="D109" t="str">
        <f>Recordkeeping!C59</f>
        <v>Some states require employers to establish a written Injury and Illness Prevention Program (IIPP), maintain a safety committee, or meet other requirements that exceed federal OSHA. These requirements are typically found in the State Plan's own standards or in state workers' compensation rules.</v>
      </c>
      <c r="E109" t="str">
        <f>Recordkeeping!E59</f>
        <v>Select rating</v>
      </c>
      <c r="F109">
        <f>Recordkeeping!F59</f>
        <v>0</v>
      </c>
      <c r="G109">
        <f>Recordkeeping!G59</f>
        <v>6</v>
      </c>
      <c r="H109">
        <f>Recordkeeping!H59</f>
        <v>0</v>
      </c>
      <c r="I109">
        <f>Recordkeeping!I59</f>
        <v>0</v>
      </c>
      <c r="J109" t="str">
        <f>Recordkeeping!J59</f>
        <v>State/local regulations</v>
      </c>
      <c r="K109">
        <f>IF(Recordkeeping!E59="Very High",5,IF(Recordkeeping!E59="High",4,IF(Recordkeeping!E59="Moderate",3,IF(Recordkeeping!E59="Low",2,IF(Recordkeeping!E59="Observation",1,0)))))</f>
        <v>0</v>
      </c>
      <c r="L109">
        <f>Recordkeeping!K59</f>
        <v>0</v>
      </c>
    </row>
    <row r="110" spans="1:12" ht="15" customHeight="1" x14ac:dyDescent="0.45">
      <c r="A110" t="s">
        <v>105</v>
      </c>
      <c r="B110" t="str">
        <f>LOTO!A19</f>
        <v>LO-1</v>
      </c>
      <c r="C110" t="str">
        <f>LOTO!B19</f>
        <v>General Requirements</v>
      </c>
      <c r="D110" t="str">
        <f>LOTO!C19</f>
        <v>A written energy control program must be established and consist of three elements: (1) documented energy control procedures (ECPs) for each machine/equipment; (2) employee training specific to each role; and (3) periodic inspections of the ECPs at least annually.</v>
      </c>
      <c r="E110" t="str">
        <f>LOTO!E19</f>
        <v>Select rating</v>
      </c>
      <c r="F110">
        <f>LOTO!F19</f>
        <v>0</v>
      </c>
      <c r="G110">
        <f>LOTO!G19</f>
        <v>10</v>
      </c>
      <c r="H110">
        <f>LOTO!H19</f>
        <v>0</v>
      </c>
      <c r="I110">
        <f>LOTO!I19</f>
        <v>0</v>
      </c>
      <c r="J110" t="str">
        <f>LOTO!J19</f>
        <v>29 CFR 1910.147(c)(1)-(c)(2)</v>
      </c>
      <c r="K110">
        <f>IF(LOTO!E19="Very High",5,IF(LOTO!E19="High",4,IF(LOTO!E19="Moderate",3,IF(LOTO!E19="Low",2,IF(LOTO!E19="Observation",1,0)))))</f>
        <v>0</v>
      </c>
      <c r="L110">
        <f>LOTO!K19</f>
        <v>0</v>
      </c>
    </row>
    <row r="111" spans="1:12" ht="15" customHeight="1" x14ac:dyDescent="0.45">
      <c r="A111" t="s">
        <v>105</v>
      </c>
      <c r="B111" t="str">
        <f>LOTO!A20</f>
        <v>LO-2</v>
      </c>
      <c r="C111" t="str">
        <f>LOTO!B20</f>
        <v>General Requirements</v>
      </c>
      <c r="D111" t="str">
        <f>LOTO!C20</f>
        <v>Energy Control Procedures (ECPs) must be developed, documented, and used for each machine/equipment with hazardous energy. Each ECP must address 5 required content areas per 29 CFR 1910.147(c)(4). See Evidence column checklist.</v>
      </c>
      <c r="E111" t="str">
        <f>LOTO!E20</f>
        <v>Select rating</v>
      </c>
      <c r="F111">
        <f>LOTO!F20</f>
        <v>0</v>
      </c>
      <c r="G111">
        <f>LOTO!G20</f>
        <v>10</v>
      </c>
      <c r="H111">
        <f>LOTO!H20</f>
        <v>0</v>
      </c>
      <c r="I111">
        <f>LOTO!I20</f>
        <v>0</v>
      </c>
      <c r="J111" t="str">
        <f>LOTO!J20</f>
        <v>29 CFR 1910.147(c)(4)</v>
      </c>
      <c r="K111">
        <f>IF(LOTO!E20="Very High",5,IF(LOTO!E20="High",4,IF(LOTO!E20="Moderate",3,IF(LOTO!E20="Low",2,IF(LOTO!E20="Observation",1,0)))))</f>
        <v>0</v>
      </c>
      <c r="L111">
        <f>LOTO!K20</f>
        <v>0</v>
      </c>
    </row>
    <row r="112" spans="1:12" ht="15" customHeight="1" x14ac:dyDescent="0.45">
      <c r="A112" t="s">
        <v>105</v>
      </c>
      <c r="B112" t="str">
        <f>LOTO!A21</f>
        <v>LO-3</v>
      </c>
      <c r="C112" t="str">
        <f>LOTO!B21</f>
        <v>General Requirements</v>
      </c>
      <c r="D112" t="str">
        <f>LOTO!C21</f>
        <v>When a tagout device is used on an energy-isolating device that cannot be locked out, the tagout device must be attached at the same location where a lockout device would have been attached, if it were possible to do so.</v>
      </c>
      <c r="E112" t="str">
        <f>LOTO!E21</f>
        <v>Select rating</v>
      </c>
      <c r="F112">
        <f>LOTO!F21</f>
        <v>0</v>
      </c>
      <c r="G112">
        <f>LOTO!G21</f>
        <v>6</v>
      </c>
      <c r="H112">
        <f>LOTO!H21</f>
        <v>0</v>
      </c>
      <c r="I112">
        <f>LOTO!I21</f>
        <v>0</v>
      </c>
      <c r="J112" t="str">
        <f>LOTO!J21</f>
        <v>29 CFR 1910.147(c)(3)(i)</v>
      </c>
      <c r="K112">
        <f>IF(LOTO!E21="Very High",5,IF(LOTO!E21="High",4,IF(LOTO!E21="Moderate",3,IF(LOTO!E21="Low",2,IF(LOTO!E21="Observation",1,0)))))</f>
        <v>0</v>
      </c>
      <c r="L112">
        <f>LOTO!K21</f>
        <v>0</v>
      </c>
    </row>
    <row r="113" spans="1:12" ht="15" customHeight="1" x14ac:dyDescent="0.45">
      <c r="A113" t="s">
        <v>105</v>
      </c>
      <c r="B113" t="str">
        <f>LOTO!A22</f>
        <v>LO-4</v>
      </c>
      <c r="C113" t="str">
        <f>LOTO!B22</f>
        <v>General Requirements</v>
      </c>
      <c r="D113" t="str">
        <f>LOTO!C22</f>
        <v>Where tagout is used in lieu of lockout, the employer must demonstrate that the tagout program will provide a level of safety equivalent to lockout. Equivalency is achieved by implementing additional safety measures such as: removing an isolating circuit element; blocking a controlling switch; opening an extra disconnecting device; or removing a valve handle.</v>
      </c>
      <c r="E113" t="str">
        <f>LOTO!E22</f>
        <v>Select rating</v>
      </c>
      <c r="F113">
        <f>LOTO!F22</f>
        <v>0</v>
      </c>
      <c r="G113">
        <f>LOTO!G22</f>
        <v>6</v>
      </c>
      <c r="H113">
        <f>LOTO!H22</f>
        <v>0</v>
      </c>
      <c r="I113">
        <f>LOTO!I22</f>
        <v>0</v>
      </c>
      <c r="J113" t="str">
        <f>LOTO!J22</f>
        <v>29 CFR 1910.147(c)(3)</v>
      </c>
      <c r="K113">
        <f>IF(LOTO!E22="Very High",5,IF(LOTO!E22="High",4,IF(LOTO!E22="Moderate",3,IF(LOTO!E22="Low",2,IF(LOTO!E22="Observation",1,0)))))</f>
        <v>0</v>
      </c>
      <c r="L113">
        <f>LOTO!K22</f>
        <v>0</v>
      </c>
    </row>
    <row r="114" spans="1:12" ht="15" customHeight="1" x14ac:dyDescent="0.45">
      <c r="A114" t="s">
        <v>105</v>
      </c>
      <c r="B114" t="str">
        <f>LOTO!A23</f>
        <v>LO-5</v>
      </c>
      <c r="C114" t="str">
        <f>LOTO!B23</f>
        <v>General Requirements</v>
      </c>
      <c r="D114" t="str">
        <f>LOTO!C23</f>
        <v>The employer must provide protective materials and hardware — including locks, tags, chains, wedges, key blocks, adapter pins, self-locking fasteners, and other hardware — as necessary to isolate, secure, or block machines or equipment from energy. This equipment must be provided at no cost to the employee.</v>
      </c>
      <c r="E114" t="str">
        <f>LOTO!E23</f>
        <v>Select rating</v>
      </c>
      <c r="F114">
        <f>LOTO!F23</f>
        <v>0</v>
      </c>
      <c r="G114">
        <f>LOTO!G23</f>
        <v>8</v>
      </c>
      <c r="H114">
        <f>LOTO!H23</f>
        <v>0</v>
      </c>
      <c r="I114">
        <f>LOTO!I23</f>
        <v>0</v>
      </c>
      <c r="J114" t="str">
        <f>LOTO!J23</f>
        <v>29 CFR 1910.147(c)(5)</v>
      </c>
      <c r="K114">
        <f>IF(LOTO!E23="Very High",5,IF(LOTO!E23="High",4,IF(LOTO!E23="Moderate",3,IF(LOTO!E23="Low",2,IF(LOTO!E23="Observation",1,0)))))</f>
        <v>0</v>
      </c>
      <c r="L114">
        <f>LOTO!K23</f>
        <v>0</v>
      </c>
    </row>
    <row r="115" spans="1:12" ht="15" customHeight="1" x14ac:dyDescent="0.45">
      <c r="A115" t="s">
        <v>105</v>
      </c>
      <c r="B115" t="str">
        <f>LOTO!A24</f>
        <v>LO-6</v>
      </c>
      <c r="C115" t="str">
        <f>LOTO!B24</f>
        <v>General Requirements</v>
      </c>
      <c r="D115" t="str">
        <f>LOTO!C24</f>
        <v>LOTO devices must meet four criteria: (1) Durable — capable of withstanding the environment and the use for which they are intended, including exposure to corrosive chemicals; tags must be able to withstand a 50-lb pullout force. (2) Standardized — same color, shape, or size within the facility, or at least the same print and format. (3) Substantial — locks must be substantial so they cannot be removed except by excessive force. (4) Identifiable — individually identified (unique to each authorized employee) and used exclusively for LOTO purposes — not for any other use.</v>
      </c>
      <c r="E115" t="str">
        <f>LOTO!E24</f>
        <v>Select rating</v>
      </c>
      <c r="F115">
        <f>LOTO!F24</f>
        <v>0</v>
      </c>
      <c r="G115">
        <f>LOTO!G24</f>
        <v>8</v>
      </c>
      <c r="H115">
        <f>LOTO!H24</f>
        <v>0</v>
      </c>
      <c r="I115">
        <f>LOTO!I24</f>
        <v>0</v>
      </c>
      <c r="J115" t="str">
        <f>LOTO!J24</f>
        <v>29 CFR 1910.147(c)(5)(ii)-(c)(5)(iii)</v>
      </c>
      <c r="K115">
        <f>IF(LOTO!E24="Very High",5,IF(LOTO!E24="High",4,IF(LOTO!E24="Moderate",3,IF(LOTO!E24="Low",2,IF(LOTO!E24="Observation",1,0)))))</f>
        <v>0</v>
      </c>
      <c r="L115">
        <f>LOTO!K24</f>
        <v>0</v>
      </c>
    </row>
    <row r="116" spans="1:12" ht="15" customHeight="1" x14ac:dyDescent="0.45">
      <c r="A116" t="s">
        <v>105</v>
      </c>
      <c r="B116" t="str">
        <f>LOTO!A25</f>
        <v>LO-7</v>
      </c>
      <c r="C116" t="str">
        <f>LOTO!B25</f>
        <v>General Requirements</v>
      </c>
      <c r="D116" t="str">
        <f>LOTO!C25</f>
        <v>At least annually, an authorized employee (other than the one using the procedure) must inspect each ECP in use and certify that the inspection was conducted. For lockout procedures, the inspection must include a review with each authorized employee of their responsibilities under the procedure. For tagout procedures, the inspection must include a review of tagout limitations in addition to the procedure review. The certification must document the machine/equipment, the date of inspection, the employees involved, and the inspector's name.</v>
      </c>
      <c r="E116" t="str">
        <f>LOTO!E25</f>
        <v>Select rating</v>
      </c>
      <c r="F116">
        <f>LOTO!F25</f>
        <v>0</v>
      </c>
      <c r="G116">
        <f>LOTO!G25</f>
        <v>10</v>
      </c>
      <c r="H116">
        <f>LOTO!H25</f>
        <v>0</v>
      </c>
      <c r="I116">
        <f>LOTO!I25</f>
        <v>0</v>
      </c>
      <c r="J116" t="str">
        <f>LOTO!J25</f>
        <v>29 CFR 1910.147(c)(6)(i)-(c)(6)(ii)</v>
      </c>
      <c r="K116">
        <f>IF(LOTO!E25="Very High",5,IF(LOTO!E25="High",4,IF(LOTO!E25="Moderate",3,IF(LOTO!E25="Low",2,IF(LOTO!E25="Observation",1,0)))))</f>
        <v>0</v>
      </c>
      <c r="L116">
        <f>LOTO!K25</f>
        <v>0</v>
      </c>
    </row>
    <row r="117" spans="1:12" ht="15" customHeight="1" x14ac:dyDescent="0.45">
      <c r="A117" t="s">
        <v>105</v>
      </c>
      <c r="B117" t="str">
        <f>LOTO!A26</f>
        <v>LO-8</v>
      </c>
      <c r="C117" t="str">
        <f>LOTO!B26</f>
        <v>General Requirements</v>
      </c>
      <c r="D117" t="str">
        <f>LOTO!C26</f>
        <v>Training must be provided to ensure all employees understand the purpose and function of the energy control program and have the knowledge and skills required for their role. Authorized employees must be trained on: (1) recognition of applicable hazardous energy sources; (2) type and magnitude of energy in the workplace; and (3) methods and means necessary for energy isolation and control. Affected employees must be trained on: (1) the purpose and use of the energy control procedure; and (2) the prohibition on restarting or re-energizing equipment under LOTO. Other employees who work in areas where LOTO is used must be trained on the prohibition and the purpose of LOTO.</v>
      </c>
      <c r="E117" t="str">
        <f>LOTO!E26</f>
        <v>Select rating</v>
      </c>
      <c r="F117">
        <f>LOTO!F26</f>
        <v>0</v>
      </c>
      <c r="G117">
        <f>LOTO!G26</f>
        <v>10</v>
      </c>
      <c r="H117">
        <f>LOTO!H26</f>
        <v>0</v>
      </c>
      <c r="I117">
        <f>LOTO!I26</f>
        <v>0</v>
      </c>
      <c r="J117" t="str">
        <f>LOTO!J26</f>
        <v>29 CFR 1910.147(c)(7)(i)-(c)(7)(ii),(c)(7)(iv)</v>
      </c>
      <c r="K117">
        <f>IF(LOTO!E26="Very High",5,IF(LOTO!E26="High",4,IF(LOTO!E26="Moderate",3,IF(LOTO!E26="Low",2,IF(LOTO!E26="Observation",1,0)))))</f>
        <v>0</v>
      </c>
      <c r="L117">
        <f>LOTO!K26</f>
        <v>0</v>
      </c>
    </row>
    <row r="118" spans="1:12" ht="15" customHeight="1" x14ac:dyDescent="0.45">
      <c r="A118" t="s">
        <v>105</v>
      </c>
      <c r="B118" t="str">
        <f>LOTO!A27</f>
        <v>LO-9</v>
      </c>
      <c r="C118" t="str">
        <f>LOTO!B27</f>
        <v>General Requirements</v>
      </c>
      <c r="D118" t="str">
        <f>LOTO!C27</f>
        <v>Retraining must be provided when: (1) there is reason to believe the employee does not have the required knowledge or skills (e.g., following an incident or observed deviation); (2) there is a change in job assignments; (3) there is a change in machines, equipment, or processes that presents a new hazardous energy hazard; or (4) there is a change in the energy control procedures.</v>
      </c>
      <c r="E118" t="str">
        <f>LOTO!E27</f>
        <v>Select rating</v>
      </c>
      <c r="F118">
        <f>LOTO!F27</f>
        <v>0</v>
      </c>
      <c r="G118">
        <f>LOTO!G27</f>
        <v>8</v>
      </c>
      <c r="H118">
        <f>LOTO!H27</f>
        <v>0</v>
      </c>
      <c r="I118">
        <f>LOTO!I27</f>
        <v>0</v>
      </c>
      <c r="J118" t="str">
        <f>LOTO!J27</f>
        <v>29 CFR 1910.147(c)(7)(iii)</v>
      </c>
      <c r="K118">
        <f>IF(LOTO!E27="Very High",5,IF(LOTO!E27="High",4,IF(LOTO!E27="Moderate",3,IF(LOTO!E27="Low",2,IF(LOTO!E27="Observation",1,0)))))</f>
        <v>0</v>
      </c>
      <c r="L118">
        <f>LOTO!K27</f>
        <v>0</v>
      </c>
    </row>
    <row r="119" spans="1:12" ht="15" customHeight="1" x14ac:dyDescent="0.45">
      <c r="A119" t="s">
        <v>105</v>
      </c>
      <c r="B119" t="str">
        <f>LOTO!A28</f>
        <v>LO-10</v>
      </c>
      <c r="C119" t="str">
        <f>LOTO!B28</f>
        <v>General Requirements</v>
      </c>
      <c r="D119" t="str">
        <f>LOTO!C28</f>
        <v>LOTO procedures must be performed only by the authorized employees who are performing the servicing or maintenance. Affected employees (operators) must not apply or remove lockout/tagout devices.</v>
      </c>
      <c r="E119" t="str">
        <f>LOTO!E28</f>
        <v>Select rating</v>
      </c>
      <c r="F119">
        <f>LOTO!F28</f>
        <v>0</v>
      </c>
      <c r="G119">
        <f>LOTO!G28</f>
        <v>8</v>
      </c>
      <c r="H119">
        <f>LOTO!H28</f>
        <v>0</v>
      </c>
      <c r="I119">
        <f>LOTO!I28</f>
        <v>0</v>
      </c>
      <c r="J119" t="str">
        <f>LOTO!J28</f>
        <v>29 CFR 1910.147(c)(8)</v>
      </c>
      <c r="K119">
        <f>IF(LOTO!E28="Very High",5,IF(LOTO!E28="High",4,IF(LOTO!E28="Moderate",3,IF(LOTO!E28="Low",2,IF(LOTO!E28="Observation",1,0)))))</f>
        <v>0</v>
      </c>
      <c r="L119">
        <f>LOTO!K28</f>
        <v>0</v>
      </c>
    </row>
    <row r="120" spans="1:12" ht="15" customHeight="1" x14ac:dyDescent="0.45">
      <c r="A120" t="s">
        <v>105</v>
      </c>
      <c r="B120" t="str">
        <f>LOTO!A29</f>
        <v>LO-11</v>
      </c>
      <c r="C120" t="str">
        <f>LOTO!B29</f>
        <v>General Requirements</v>
      </c>
      <c r="D120" t="str">
        <f>LOTO!C29</f>
        <v>Affected employees must be notified by the employer or the authorized employee both: (1) before a lockout or tagout device is applied; and (2) after the device is removed and before the machine is re-started.</v>
      </c>
      <c r="E120" t="str">
        <f>LOTO!E29</f>
        <v>Select rating</v>
      </c>
      <c r="F120">
        <f>LOTO!F29</f>
        <v>0</v>
      </c>
      <c r="G120">
        <f>LOTO!G29</f>
        <v>6</v>
      </c>
      <c r="H120">
        <f>LOTO!H29</f>
        <v>0</v>
      </c>
      <c r="I120">
        <f>LOTO!I29</f>
        <v>0</v>
      </c>
      <c r="J120" t="str">
        <f>LOTO!J29</f>
        <v>29 CFR 1910.147(c)(9)</v>
      </c>
      <c r="K120">
        <f>IF(LOTO!E29="Very High",5,IF(LOTO!E29="High",4,IF(LOTO!E29="Moderate",3,IF(LOTO!E29="Low",2,IF(LOTO!E29="Observation",1,0)))))</f>
        <v>0</v>
      </c>
      <c r="L120">
        <f>LOTO!K29</f>
        <v>0</v>
      </c>
    </row>
    <row r="121" spans="1:12" ht="15" customHeight="1" x14ac:dyDescent="0.45">
      <c r="A121" t="s">
        <v>105</v>
      </c>
      <c r="B121" t="str">
        <f>LOTO!A30</f>
        <v>LO-12</v>
      </c>
      <c r="C121" t="str">
        <f>LOTO!B30</f>
        <v>General Requirements</v>
      </c>
      <c r="D121" t="str">
        <f>LOTO!C30</f>
        <v>When lockout/tagout devices must be temporarily removed from an energy-isolating device to test or position the machine, the following specific sequence must be followed: (1) Clear the machine of tools and materials; (2) remove employees from the machine area; (3) remove lockout/tagout devices; (4) energize and proceed with testing/positioning; (5) de-energize all systems; (6) reapply energy control measures before continuing servicing work.</v>
      </c>
      <c r="E121" t="str">
        <f>LOTO!E30</f>
        <v>Select rating</v>
      </c>
      <c r="F121">
        <f>LOTO!F30</f>
        <v>0</v>
      </c>
      <c r="G121">
        <f>LOTO!G30</f>
        <v>8</v>
      </c>
      <c r="H121">
        <f>LOTO!H30</f>
        <v>0</v>
      </c>
      <c r="I121">
        <f>LOTO!I30</f>
        <v>0</v>
      </c>
      <c r="J121" t="str">
        <f>LOTO!J30</f>
        <v>29 CFR 1910.147(f)(1)</v>
      </c>
      <c r="K121">
        <f>IF(LOTO!E30="Very High",5,IF(LOTO!E30="High",4,IF(LOTO!E30="Moderate",3,IF(LOTO!E30="Low",2,IF(LOTO!E30="Observation",1,0)))))</f>
        <v>0</v>
      </c>
      <c r="L121">
        <f>LOTO!K30</f>
        <v>0</v>
      </c>
    </row>
    <row r="122" spans="1:12" ht="15" customHeight="1" x14ac:dyDescent="0.45">
      <c r="A122" t="s">
        <v>105</v>
      </c>
      <c r="B122" t="str">
        <f>LOTO!A31</f>
        <v>LO-13</v>
      </c>
      <c r="C122" t="str">
        <f>LOTO!B31</f>
        <v>General Requirements</v>
      </c>
      <c r="D122" t="str">
        <f>LOTO!C31</f>
        <v>When contractors or outside personnel engage in LOTO activities at this facility, the on-site employer and the outside employer must inform each other of their respective lockout/tagout procedures. The on-site employer must ensure that their own employees follow the outside employer's energy control procedures, or vice versa, so both are protected.</v>
      </c>
      <c r="E122" t="str">
        <f>LOTO!E31</f>
        <v>Select rating</v>
      </c>
      <c r="F122">
        <f>LOTO!F31</f>
        <v>0</v>
      </c>
      <c r="G122">
        <f>LOTO!G31</f>
        <v>8</v>
      </c>
      <c r="H122">
        <f>LOTO!H31</f>
        <v>0</v>
      </c>
      <c r="I122">
        <f>LOTO!I31</f>
        <v>0</v>
      </c>
      <c r="J122" t="str">
        <f>LOTO!J31</f>
        <v>29 CFR 1910.147(f)(2)</v>
      </c>
      <c r="K122">
        <f>IF(LOTO!E31="Very High",5,IF(LOTO!E31="High",4,IF(LOTO!E31="Moderate",3,IF(LOTO!E31="Low",2,IF(LOTO!E31="Observation",1,0)))))</f>
        <v>0</v>
      </c>
      <c r="L122">
        <f>LOTO!K31</f>
        <v>0</v>
      </c>
    </row>
    <row r="123" spans="1:12" ht="15" customHeight="1" x14ac:dyDescent="0.45">
      <c r="A123" t="s">
        <v>105</v>
      </c>
      <c r="B123" t="str">
        <f>LOTO!A32</f>
        <v>LO-14</v>
      </c>
      <c r="C123" t="str">
        <f>LOTO!B32</f>
        <v>General Requirements</v>
      </c>
      <c r="D123" t="str">
        <f>LOTO!C32</f>
        <v>When a job requiring LOTO involves more than one authorized employee, each employee must have personal protection: either their own personal lock on the energy-isolating device or their own personal lock on a group lockout device (hasp or group lockout box). Each employee's personal lock must be removed only by that employee.</v>
      </c>
      <c r="E123" t="str">
        <f>LOTO!E32</f>
        <v>Select rating</v>
      </c>
      <c r="F123">
        <f>LOTO!F32</f>
        <v>0</v>
      </c>
      <c r="G123">
        <f>LOTO!G32</f>
        <v>8</v>
      </c>
      <c r="H123">
        <f>LOTO!H32</f>
        <v>0</v>
      </c>
      <c r="I123">
        <f>LOTO!I32</f>
        <v>0</v>
      </c>
      <c r="J123" t="str">
        <f>LOTO!J32</f>
        <v>29 CFR 1910.147(f)(3)</v>
      </c>
      <c r="K123">
        <f>IF(LOTO!E32="Very High",5,IF(LOTO!E32="High",4,IF(LOTO!E32="Moderate",3,IF(LOTO!E32="Low",2,IF(LOTO!E32="Observation",1,0)))))</f>
        <v>0</v>
      </c>
      <c r="L123">
        <f>LOTO!K32</f>
        <v>0</v>
      </c>
    </row>
    <row r="124" spans="1:12" ht="15" customHeight="1" x14ac:dyDescent="0.45">
      <c r="A124" t="s">
        <v>105</v>
      </c>
      <c r="B124" t="str">
        <f>LOTO!A33</f>
        <v>LO-15</v>
      </c>
      <c r="C124" t="str">
        <f>LOTO!B33</f>
        <v>General Requirements</v>
      </c>
      <c r="D124" t="str">
        <f>LOTO!C33</f>
        <v>Procedures must be in place to ensure that LOTO protection is maintained during shift or personnel changes. The minimum protection method is: the incoming authorized employee applies their lock before the outgoing employee removes theirs — so the equipment is never left unprotected during the transition.</v>
      </c>
      <c r="E124" t="str">
        <f>LOTO!E33</f>
        <v>Select rating</v>
      </c>
      <c r="F124">
        <f>LOTO!F33</f>
        <v>0</v>
      </c>
      <c r="G124">
        <f>LOTO!G33</f>
        <v>8</v>
      </c>
      <c r="H124">
        <f>LOTO!H33</f>
        <v>0</v>
      </c>
      <c r="I124">
        <f>LOTO!I33</f>
        <v>0</v>
      </c>
      <c r="J124" t="str">
        <f>LOTO!J33</f>
        <v>29 CFR 1910.147(f)(4)</v>
      </c>
      <c r="K124">
        <f>IF(LOTO!E33="Very High",5,IF(LOTO!E33="High",4,IF(LOTO!E33="Moderate",3,IF(LOTO!E33="Low",2,IF(LOTO!E33="Observation",1,0)))))</f>
        <v>0</v>
      </c>
      <c r="L124">
        <f>LOTO!K33</f>
        <v>0</v>
      </c>
    </row>
    <row r="125" spans="1:12" ht="15" customHeight="1" x14ac:dyDescent="0.45">
      <c r="A125" t="s">
        <v>105</v>
      </c>
      <c r="B125" t="str">
        <f>LOTO!A35</f>
        <v>LO-16</v>
      </c>
      <c r="C125" t="str">
        <f>LOTO!B35</f>
        <v>Application and Release of Energy Controls</v>
      </c>
      <c r="D125" t="str">
        <f>LOTO!C35</f>
        <v>All energy control applications must follow a documented 7-step sequence per 29 CFR 1910.147(d). ECPs that omit stored/residual energy steps are among the most commonly cited LOTO violations.</v>
      </c>
      <c r="E125" t="str">
        <f>LOTO!E35</f>
        <v>Select rating</v>
      </c>
      <c r="F125">
        <f>LOTO!F35</f>
        <v>0</v>
      </c>
      <c r="G125">
        <f>LOTO!G35</f>
        <v>10</v>
      </c>
      <c r="H125">
        <f>LOTO!H35</f>
        <v>0</v>
      </c>
      <c r="I125">
        <f>LOTO!I35</f>
        <v>0</v>
      </c>
      <c r="J125" t="str">
        <f>LOTO!J35</f>
        <v>29 CFR 1910.147(d)</v>
      </c>
      <c r="K125">
        <f>IF(LOTO!E35="Very High",5,IF(LOTO!E35="High",4,IF(LOTO!E35="Moderate",3,IF(LOTO!E35="Low",2,IF(LOTO!E35="Observation",1,0)))))</f>
        <v>0</v>
      </c>
      <c r="L125">
        <f>LOTO!K35</f>
        <v>0</v>
      </c>
    </row>
    <row r="126" spans="1:12" ht="15" customHeight="1" x14ac:dyDescent="0.45">
      <c r="A126" t="s">
        <v>105</v>
      </c>
      <c r="B126" t="str">
        <f>LOTO!A36</f>
        <v>LO-17</v>
      </c>
      <c r="C126" t="str">
        <f>LOTO!B36</f>
        <v>Application and Release of Energy Controls</v>
      </c>
      <c r="D126" t="str">
        <f>LOTO!C36</f>
        <v>Before energy is restored and LOTO devices are removed, a documented 6-step sequence must be followed per 29 CFR 1910.147(e). An emergency lock removal procedure must also exist for situations where the authorized employee is unavailable.</v>
      </c>
      <c r="E126" t="str">
        <f>LOTO!E36</f>
        <v>Select rating</v>
      </c>
      <c r="F126">
        <f>LOTO!F36</f>
        <v>0</v>
      </c>
      <c r="G126">
        <f>LOTO!G36</f>
        <v>10</v>
      </c>
      <c r="H126">
        <f>LOTO!H36</f>
        <v>0</v>
      </c>
      <c r="I126">
        <f>LOTO!I36</f>
        <v>0</v>
      </c>
      <c r="J126" t="str">
        <f>LOTO!J36</f>
        <v>29 CFR 1910.147(e)</v>
      </c>
      <c r="K126">
        <f>IF(LOTO!E36="Very High",5,IF(LOTO!E36="High",4,IF(LOTO!E36="Moderate",3,IF(LOTO!E36="Low",2,IF(LOTO!E36="Observation",1,0)))))</f>
        <v>0</v>
      </c>
      <c r="L126">
        <f>LOTO!K36</f>
        <v>0</v>
      </c>
    </row>
    <row r="127" spans="1:12" ht="15" customHeight="1" x14ac:dyDescent="0.45">
      <c r="A127" t="s">
        <v>1554</v>
      </c>
      <c r="B127" t="str">
        <f>'Egress &amp; Emergency Action'!A19</f>
        <v>EG-1</v>
      </c>
      <c r="C127" t="str">
        <f>'Egress &amp; Emergency Action'!B19</f>
        <v>Exit Route Design &amp; Construction</v>
      </c>
      <c r="D127" t="str">
        <f>'Egress &amp; Emergency Action'!C19</f>
        <v>Exit routes must be permanent parts of the workplace. Each exit must be a permanent structural component — not a temporary door, movable partition, or makeshift opening — and must lead directly to a safe area outside the building.</v>
      </c>
      <c r="E127" t="str">
        <f>'Egress &amp; Emergency Action'!E19</f>
        <v>Select rating</v>
      </c>
      <c r="F127">
        <f>'Egress &amp; Emergency Action'!F19</f>
        <v>0</v>
      </c>
      <c r="G127">
        <f>'Egress &amp; Emergency Action'!G19</f>
        <v>8</v>
      </c>
      <c r="H127">
        <f>'Egress &amp; Emergency Action'!H19</f>
        <v>0</v>
      </c>
      <c r="I127">
        <f>'Egress &amp; Emergency Action'!I19</f>
        <v>0</v>
      </c>
      <c r="J127" t="str">
        <f>'Egress &amp; Emergency Action'!J19</f>
        <v>29 CFR 1910.36(a)(1)</v>
      </c>
      <c r="K127">
        <f>IF('Egress &amp; Emergency Action'!E19="Very High",5,IF('Egress &amp; Emergency Action'!E19="High",4,IF('Egress &amp; Emergency Action'!E19="Moderate",3,IF('Egress &amp; Emergency Action'!E19="Low",2,IF('Egress &amp; Emergency Action'!E19="Observation",1,0)))))</f>
        <v>0</v>
      </c>
      <c r="L127">
        <f>'Egress &amp; Emergency Action'!K19</f>
        <v>0</v>
      </c>
    </row>
    <row r="128" spans="1:12" ht="15" customHeight="1" x14ac:dyDescent="0.45">
      <c r="A128" t="s">
        <v>1554</v>
      </c>
      <c r="B128" t="str">
        <f>'Egress &amp; Emergency Action'!A20</f>
        <v>EG-2</v>
      </c>
      <c r="C128" t="str">
        <f>'Egress &amp; Emergency Action'!B20</f>
        <v>Exit Route Design &amp; Construction</v>
      </c>
      <c r="D128" t="str">
        <f>'Egress &amp; Emergency Action'!C20</f>
        <v>Each exit must be separated from other areas of the building by construction materials that have the required fire resistance ratings. Openings into an exit enclosure must be limited — only those necessary for occupant use.</v>
      </c>
      <c r="E128" t="str">
        <f>'Egress &amp; Emergency Action'!E20</f>
        <v>Select rating</v>
      </c>
      <c r="F128">
        <f>'Egress &amp; Emergency Action'!F20</f>
        <v>0</v>
      </c>
      <c r="G128">
        <f>'Egress &amp; Emergency Action'!G20</f>
        <v>6</v>
      </c>
      <c r="H128">
        <f>'Egress &amp; Emergency Action'!H20</f>
        <v>0</v>
      </c>
      <c r="I128">
        <f>'Egress &amp; Emergency Action'!I20</f>
        <v>0</v>
      </c>
      <c r="J128" t="str">
        <f>'Egress &amp; Emergency Action'!J20</f>
        <v>29 CFR 1910.36(a)(2)-(a)(3)</v>
      </c>
      <c r="K128">
        <f>IF('Egress &amp; Emergency Action'!E20="Very High",5,IF('Egress &amp; Emergency Action'!E20="High",4,IF('Egress &amp; Emergency Action'!E20="Moderate",3,IF('Egress &amp; Emergency Action'!E20="Low",2,IF('Egress &amp; Emergency Action'!E20="Observation",1,0)))))</f>
        <v>0</v>
      </c>
      <c r="L128">
        <f>'Egress &amp; Emergency Action'!K20</f>
        <v>0</v>
      </c>
    </row>
    <row r="129" spans="1:12" ht="15" customHeight="1" x14ac:dyDescent="0.45">
      <c r="A129" t="s">
        <v>1554</v>
      </c>
      <c r="B129" t="str">
        <f>'Egress &amp; Emergency Action'!A21</f>
        <v>EG-3</v>
      </c>
      <c r="C129" t="str">
        <f>'Egress &amp; Emergency Action'!B21</f>
        <v>Exit Route Design &amp; Construction</v>
      </c>
      <c r="D129" t="str">
        <f>'Egress &amp; Emergency Action'!C21</f>
        <v>At least two exit routes must be available to permit prompt evacuation. Exception: one exit is acceptable if the number of employees, size, occupancy, or arrangement allows all employees to evacuate safely.</v>
      </c>
      <c r="E129" t="str">
        <f>'Egress &amp; Emergency Action'!E21</f>
        <v>Select rating</v>
      </c>
      <c r="F129">
        <f>'Egress &amp; Emergency Action'!F21</f>
        <v>0</v>
      </c>
      <c r="G129">
        <f>'Egress &amp; Emergency Action'!G21</f>
        <v>10</v>
      </c>
      <c r="H129">
        <f>'Egress &amp; Emergency Action'!H21</f>
        <v>0</v>
      </c>
      <c r="I129">
        <f>'Egress &amp; Emergency Action'!I21</f>
        <v>0</v>
      </c>
      <c r="J129" t="str">
        <f>'Egress &amp; Emergency Action'!J21</f>
        <v>29 CFR 1910.36(b)(1)-(b)(3)</v>
      </c>
      <c r="K129">
        <f>IF('Egress &amp; Emergency Action'!E21="Very High",5,IF('Egress &amp; Emergency Action'!E21="High",4,IF('Egress &amp; Emergency Action'!E21="Moderate",3,IF('Egress &amp; Emergency Action'!E21="Low",2,IF('Egress &amp; Emergency Action'!E21="Observation",1,0)))))</f>
        <v>0</v>
      </c>
      <c r="L129">
        <f>'Egress &amp; Emergency Action'!K21</f>
        <v>0</v>
      </c>
    </row>
    <row r="130" spans="1:12" ht="15" customHeight="1" x14ac:dyDescent="0.45">
      <c r="A130" t="s">
        <v>1554</v>
      </c>
      <c r="B130" t="str">
        <f>'Egress &amp; Emergency Action'!A22</f>
        <v>EG-4</v>
      </c>
      <c r="C130" t="str">
        <f>'Egress &amp; Emergency Action'!B22</f>
        <v>Exit Route Design &amp; Construction</v>
      </c>
      <c r="D130" t="str">
        <f>'Egress &amp; Emergency Action'!C22</f>
        <v>Each exit discharge must lead directly to the street, walkway, refuge area, public way, or other open space with room for evacuated employees. Exit stairs that continue below the exit discharge level must have barriers to prevent employees from accidentally continuing past the exit discharge level.</v>
      </c>
      <c r="E130" t="str">
        <f>'Egress &amp; Emergency Action'!E22</f>
        <v>Select rating</v>
      </c>
      <c r="F130">
        <f>'Egress &amp; Emergency Action'!F22</f>
        <v>0</v>
      </c>
      <c r="G130">
        <f>'Egress &amp; Emergency Action'!G22</f>
        <v>8</v>
      </c>
      <c r="H130">
        <f>'Egress &amp; Emergency Action'!H22</f>
        <v>0</v>
      </c>
      <c r="I130">
        <f>'Egress &amp; Emergency Action'!I22</f>
        <v>0</v>
      </c>
      <c r="J130" t="str">
        <f>'Egress &amp; Emergency Action'!J22</f>
        <v>29 CFR 1910.36(c)(1)-(c)(2); 1910.36(d)</v>
      </c>
      <c r="K130">
        <f>IF('Egress &amp; Emergency Action'!E22="Very High",5,IF('Egress &amp; Emergency Action'!E22="High",4,IF('Egress &amp; Emergency Action'!E22="Moderate",3,IF('Egress &amp; Emergency Action'!E22="Low",2,IF('Egress &amp; Emergency Action'!E22="Observation",1,0)))))</f>
        <v>0</v>
      </c>
      <c r="L130">
        <f>'Egress &amp; Emergency Action'!K22</f>
        <v>0</v>
      </c>
    </row>
    <row r="131" spans="1:12" ht="15" customHeight="1" x14ac:dyDescent="0.45">
      <c r="A131" t="s">
        <v>1554</v>
      </c>
      <c r="B131" t="str">
        <f>'Egress &amp; Emergency Action'!A23</f>
        <v>EG-5</v>
      </c>
      <c r="C131" t="str">
        <f>'Egress &amp; Emergency Action'!B23</f>
        <v>Exit Route Design &amp; Construction</v>
      </c>
      <c r="D131" t="str">
        <f>'Egress &amp; Emergency Action'!C23</f>
        <v>Exit doors must be unlocked and able to be freely opened from the inside at all times without a key, tool, special knowledge, or effort. Delayed-egress hardware (up to 15-second delay) is permitted only in specific limited applications and only where approved by the authority having jurisdiction.</v>
      </c>
      <c r="E131" t="str">
        <f>'Egress &amp; Emergency Action'!E23</f>
        <v>Select rating</v>
      </c>
      <c r="F131">
        <f>'Egress &amp; Emergency Action'!F23</f>
        <v>0</v>
      </c>
      <c r="G131">
        <f>'Egress &amp; Emergency Action'!G23</f>
        <v>10</v>
      </c>
      <c r="H131">
        <f>'Egress &amp; Emergency Action'!H23</f>
        <v>0</v>
      </c>
      <c r="I131">
        <f>'Egress &amp; Emergency Action'!I23</f>
        <v>0</v>
      </c>
      <c r="J131" t="str">
        <f>'Egress &amp; Emergency Action'!J23</f>
        <v>29 CFR 1910.36(e)(1)-(e)(3)</v>
      </c>
      <c r="K131">
        <f>IF('Egress &amp; Emergency Action'!E23="Very High",5,IF('Egress &amp; Emergency Action'!E23="High",4,IF('Egress &amp; Emergency Action'!E23="Moderate",3,IF('Egress &amp; Emergency Action'!E23="Low",2,IF('Egress &amp; Emergency Action'!E23="Observation",1,0)))))</f>
        <v>0</v>
      </c>
      <c r="L131">
        <f>'Egress &amp; Emergency Action'!K23</f>
        <v>0</v>
      </c>
    </row>
    <row r="132" spans="1:12" ht="15" customHeight="1" x14ac:dyDescent="0.45">
      <c r="A132" t="s">
        <v>1554</v>
      </c>
      <c r="B132" t="str">
        <f>'Egress &amp; Emergency Action'!A24</f>
        <v>EG-6</v>
      </c>
      <c r="C132" t="str">
        <f>'Egress &amp; Emergency Action'!B24</f>
        <v>Exit Route Design &amp; Construction</v>
      </c>
      <c r="D132" t="str">
        <f>'Egress &amp; Emergency Action'!C24</f>
        <v>Exit doors must meet design requirements: side-hinged; open in the direction of exit travel for rooms with 50 or more occupants or hazardous areas; not be a sliding, revolving, or overhead door.</v>
      </c>
      <c r="E132" t="str">
        <f>'Egress &amp; Emergency Action'!E24</f>
        <v>Select rating</v>
      </c>
      <c r="F132">
        <f>'Egress &amp; Emergency Action'!F24</f>
        <v>0</v>
      </c>
      <c r="G132">
        <f>'Egress &amp; Emergency Action'!G24</f>
        <v>6</v>
      </c>
      <c r="H132">
        <f>'Egress &amp; Emergency Action'!H24</f>
        <v>0</v>
      </c>
      <c r="I132">
        <f>'Egress &amp; Emergency Action'!I24</f>
        <v>0</v>
      </c>
      <c r="J132" t="str">
        <f>'Egress &amp; Emergency Action'!J24</f>
        <v>29 CFR 1910.36(e)(4)-(e)(6)</v>
      </c>
      <c r="K132">
        <f>IF('Egress &amp; Emergency Action'!E24="Very High",5,IF('Egress &amp; Emergency Action'!E24="High",4,IF('Egress &amp; Emergency Action'!E24="Moderate",3,IF('Egress &amp; Emergency Action'!E24="Low",2,IF('Egress &amp; Emergency Action'!E24="Observation",1,0)))))</f>
        <v>0</v>
      </c>
      <c r="L132">
        <f>'Egress &amp; Emergency Action'!K24</f>
        <v>0</v>
      </c>
    </row>
    <row r="133" spans="1:12" ht="15" customHeight="1" x14ac:dyDescent="0.45">
      <c r="A133" t="s">
        <v>1554</v>
      </c>
      <c r="B133" t="str">
        <f>'Egress &amp; Emergency Action'!A25</f>
        <v>EG-7</v>
      </c>
      <c r="C133" t="str">
        <f>'Egress &amp; Emergency Action'!B25</f>
        <v>Exit Route Design &amp; Construction</v>
      </c>
      <c r="D133" t="str">
        <f>'Egress &amp; Emergency Action'!C25</f>
        <v>Exit routes must have adequate capacity for all occupants. Exit route height must be at least 7 feet 6 inches (2.3 m) for the entire length. Width must be sufficient for the number of occupants served, but in no case less than 28 inches (71 cm). No locked room, device, or condition may reduce capacity below required levels.</v>
      </c>
      <c r="E133" t="str">
        <f>'Egress &amp; Emergency Action'!E25</f>
        <v>Select rating</v>
      </c>
      <c r="F133">
        <f>'Egress &amp; Emergency Action'!F25</f>
        <v>0</v>
      </c>
      <c r="G133">
        <f>'Egress &amp; Emergency Action'!G25</f>
        <v>8</v>
      </c>
      <c r="H133">
        <f>'Egress &amp; Emergency Action'!H25</f>
        <v>0</v>
      </c>
      <c r="I133">
        <f>'Egress &amp; Emergency Action'!I25</f>
        <v>0</v>
      </c>
      <c r="J133" t="str">
        <f>'Egress &amp; Emergency Action'!J25</f>
        <v>29 CFR 1910.36(f)-(g)</v>
      </c>
      <c r="K133">
        <f>IF('Egress &amp; Emergency Action'!E25="Very High",5,IF('Egress &amp; Emergency Action'!E25="High",4,IF('Egress &amp; Emergency Action'!E25="Moderate",3,IF('Egress &amp; Emergency Action'!E25="Low",2,IF('Egress &amp; Emergency Action'!E25="Observation",1,0)))))</f>
        <v>0</v>
      </c>
      <c r="L133">
        <f>'Egress &amp; Emergency Action'!K25</f>
        <v>0</v>
      </c>
    </row>
    <row r="134" spans="1:12" ht="15" customHeight="1" x14ac:dyDescent="0.45">
      <c r="A134" t="s">
        <v>1554</v>
      </c>
      <c r="B134" t="str">
        <f>'Egress &amp; Emergency Action'!A27</f>
        <v>EG-8</v>
      </c>
      <c r="C134" t="str">
        <f>'Egress &amp; Emergency Action'!B27</f>
        <v>Exit Route Maintenance &amp; Marking</v>
      </c>
      <c r="D134" t="str">
        <f>'Egress &amp; Emergency Action'!C27</f>
        <v>Exit routes must be kept free of explosive or highly flammable furnishings, decorations, or other materials. Safeguards against dangerous conditions must be maintained on exit routes.</v>
      </c>
      <c r="E134" t="str">
        <f>'Egress &amp; Emergency Action'!E27</f>
        <v>Select rating</v>
      </c>
      <c r="F134">
        <f>'Egress &amp; Emergency Action'!F27</f>
        <v>0</v>
      </c>
      <c r="G134">
        <f>'Egress &amp; Emergency Action'!G27</f>
        <v>8</v>
      </c>
      <c r="H134">
        <f>'Egress &amp; Emergency Action'!H27</f>
        <v>0</v>
      </c>
      <c r="I134">
        <f>'Egress &amp; Emergency Action'!I27</f>
        <v>0</v>
      </c>
      <c r="J134" t="str">
        <f>'Egress &amp; Emergency Action'!J27</f>
        <v>29 CFR 1910.37(a)(1)-(a)(3)</v>
      </c>
      <c r="K134">
        <f>IF('Egress &amp; Emergency Action'!E27="Very High",5,IF('Egress &amp; Emergency Action'!E27="High",4,IF('Egress &amp; Emergency Action'!E27="Moderate",3,IF('Egress &amp; Emergency Action'!E27="Low",2,IF('Egress &amp; Emergency Action'!E27="Observation",1,0)))))</f>
        <v>0</v>
      </c>
      <c r="L134">
        <f>'Egress &amp; Emergency Action'!K27</f>
        <v>0</v>
      </c>
    </row>
    <row r="135" spans="1:12" ht="15" customHeight="1" x14ac:dyDescent="0.45">
      <c r="A135" t="s">
        <v>1554</v>
      </c>
      <c r="B135" t="str">
        <f>'Egress &amp; Emergency Action'!A28</f>
        <v>EG-9</v>
      </c>
      <c r="C135" t="str">
        <f>'Egress &amp; Emergency Action'!B28</f>
        <v>Exit Route Maintenance &amp; Marking</v>
      </c>
      <c r="D135" t="str">
        <f>'Egress &amp; Emergency Action'!C28</f>
        <v>Each exit and the path of travel to it must be adequately lit so employees can see along the exit route. Lighting must be sufficient for a person to see with normal vision.</v>
      </c>
      <c r="E135" t="str">
        <f>'Egress &amp; Emergency Action'!E28</f>
        <v>Select rating</v>
      </c>
      <c r="F135">
        <f>'Egress &amp; Emergency Action'!F28</f>
        <v>0</v>
      </c>
      <c r="G135">
        <f>'Egress &amp; Emergency Action'!G28</f>
        <v>6</v>
      </c>
      <c r="H135">
        <f>'Egress &amp; Emergency Action'!H28</f>
        <v>0</v>
      </c>
      <c r="I135">
        <f>'Egress &amp; Emergency Action'!I28</f>
        <v>0</v>
      </c>
      <c r="J135" t="str">
        <f>'Egress &amp; Emergency Action'!J28</f>
        <v>29 CFR 1910.37(b)(1)</v>
      </c>
      <c r="K135">
        <f>IF('Egress &amp; Emergency Action'!E28="Very High",5,IF('Egress &amp; Emergency Action'!E28="High",4,IF('Egress &amp; Emergency Action'!E28="Moderate",3,IF('Egress &amp; Emergency Action'!E28="Low",2,IF('Egress &amp; Emergency Action'!E28="Observation",1,0)))))</f>
        <v>0</v>
      </c>
      <c r="L135">
        <f>'Egress &amp; Emergency Action'!K28</f>
        <v>0</v>
      </c>
    </row>
    <row r="136" spans="1:12" ht="15" customHeight="1" x14ac:dyDescent="0.45">
      <c r="A136" t="s">
        <v>1554</v>
      </c>
      <c r="B136" t="str">
        <f>'Egress &amp; Emergency Action'!A29</f>
        <v>EG-10</v>
      </c>
      <c r="C136" t="str">
        <f>'Egress &amp; Emergency Action'!B29</f>
        <v>Exit Route Maintenance &amp; Marking</v>
      </c>
      <c r="D136" t="str">
        <f>'Egress &amp; Emergency Action'!C29</f>
        <v>Each exit must be clearly marked by a visible sign with the word 'EXIT' in plainly legible letters not less than 6 inches high and 3/4 inch wide stroke. Any door, passageway, or stairway that could be mistaken for an exit must be marked 'NOT AN EXIT' or similar. Each exit route must be marked with signs posted along the route so employees always know the direction of exit travel.</v>
      </c>
      <c r="E136" t="str">
        <f>'Egress &amp; Emergency Action'!E29</f>
        <v>Select rating</v>
      </c>
      <c r="F136">
        <f>'Egress &amp; Emergency Action'!F29</f>
        <v>0</v>
      </c>
      <c r="G136">
        <f>'Egress &amp; Emergency Action'!G29</f>
        <v>8</v>
      </c>
      <c r="H136">
        <f>'Egress &amp; Emergency Action'!H29</f>
        <v>0</v>
      </c>
      <c r="I136">
        <f>'Egress &amp; Emergency Action'!I29</f>
        <v>0</v>
      </c>
      <c r="J136" t="str">
        <f>'Egress &amp; Emergency Action'!J29</f>
        <v>29 CFR 1910.37(b)(2)-(b)(5)</v>
      </c>
      <c r="K136">
        <f>IF('Egress &amp; Emergency Action'!E29="Very High",5,IF('Egress &amp; Emergency Action'!E29="High",4,IF('Egress &amp; Emergency Action'!E29="Moderate",3,IF('Egress &amp; Emergency Action'!E29="Low",2,IF('Egress &amp; Emergency Action'!E29="Observation",1,0)))))</f>
        <v>0</v>
      </c>
      <c r="L136">
        <f>'Egress &amp; Emergency Action'!K29</f>
        <v>0</v>
      </c>
    </row>
    <row r="137" spans="1:12" ht="15" customHeight="1" x14ac:dyDescent="0.45">
      <c r="A137" t="s">
        <v>1554</v>
      </c>
      <c r="B137" t="str">
        <f>'Egress &amp; Emergency Action'!A30</f>
        <v>EG-11</v>
      </c>
      <c r="C137" t="str">
        <f>'Egress &amp; Emergency Action'!B30</f>
        <v>Exit Route Maintenance &amp; Marking</v>
      </c>
      <c r="D137" t="str">
        <f>'Egress &amp; Emergency Action'!C30</f>
        <v>Exit routes must be maintained during construction, repairs, or alterations. If an exit route is temporarily unavailable, an alternate exit must be available. The fire retardant properties of paint or coatings used in exit enclosures must be maintained.</v>
      </c>
      <c r="E137" t="str">
        <f>'Egress &amp; Emergency Action'!E30</f>
        <v>Select rating</v>
      </c>
      <c r="F137">
        <f>'Egress &amp; Emergency Action'!F30</f>
        <v>0</v>
      </c>
      <c r="G137">
        <f>'Egress &amp; Emergency Action'!G30</f>
        <v>5</v>
      </c>
      <c r="H137">
        <f>'Egress &amp; Emergency Action'!H30</f>
        <v>0</v>
      </c>
      <c r="I137">
        <f>'Egress &amp; Emergency Action'!I30</f>
        <v>0</v>
      </c>
      <c r="J137" t="str">
        <f>'Egress &amp; Emergency Action'!J30</f>
        <v>29 CFR 1910.37(c)-(d)</v>
      </c>
      <c r="K137">
        <f>IF('Egress &amp; Emergency Action'!E30="Very High",5,IF('Egress &amp; Emergency Action'!E30="High",4,IF('Egress &amp; Emergency Action'!E30="Moderate",3,IF('Egress &amp; Emergency Action'!E30="Low",2,IF('Egress &amp; Emergency Action'!E30="Observation",1,0)))))</f>
        <v>0</v>
      </c>
      <c r="L137">
        <f>'Egress &amp; Emergency Action'!K30</f>
        <v>0</v>
      </c>
    </row>
    <row r="138" spans="1:12" ht="15" customHeight="1" x14ac:dyDescent="0.45">
      <c r="A138" t="s">
        <v>1554</v>
      </c>
      <c r="B138" t="str">
        <f>'Egress &amp; Emergency Action'!A31</f>
        <v>EG-12</v>
      </c>
      <c r="C138" t="str">
        <f>'Egress &amp; Emergency Action'!B31</f>
        <v>Exit Route Maintenance &amp; Marking</v>
      </c>
      <c r="D138" t="str">
        <f>'Egress &amp; Emergency Action'!C31</f>
        <v>An employee alarm system must be operable, audible throughout the building, and maintained. The alarm must provide enough warning time for employees to escape safely before conditions become hazardous.</v>
      </c>
      <c r="E138" t="str">
        <f>'Egress &amp; Emergency Action'!E31</f>
        <v>Select rating</v>
      </c>
      <c r="F138">
        <f>'Egress &amp; Emergency Action'!F31</f>
        <v>0</v>
      </c>
      <c r="G138">
        <f>'Egress &amp; Emergency Action'!G31</f>
        <v>8</v>
      </c>
      <c r="H138">
        <f>'Egress &amp; Emergency Action'!H31</f>
        <v>0</v>
      </c>
      <c r="I138">
        <f>'Egress &amp; Emergency Action'!I31</f>
        <v>0</v>
      </c>
      <c r="J138" t="str">
        <f>'Egress &amp; Emergency Action'!J31</f>
        <v>29 CFR 1910.37(e)(1)-(e)(3)</v>
      </c>
      <c r="K138">
        <f>IF('Egress &amp; Emergency Action'!E31="Very High",5,IF('Egress &amp; Emergency Action'!E31="High",4,IF('Egress &amp; Emergency Action'!E31="Moderate",3,IF('Egress &amp; Emergency Action'!E31="Low",2,IF('Egress &amp; Emergency Action'!E31="Observation",1,0)))))</f>
        <v>0</v>
      </c>
      <c r="L138">
        <f>'Egress &amp; Emergency Action'!K31</f>
        <v>0</v>
      </c>
    </row>
    <row r="139" spans="1:12" ht="15" customHeight="1" x14ac:dyDescent="0.45">
      <c r="A139" t="s">
        <v>1554</v>
      </c>
      <c r="B139" t="str">
        <f>'Egress &amp; Emergency Action'!A33</f>
        <v>EG-13</v>
      </c>
      <c r="C139" t="str">
        <f>'Egress &amp; Emergency Action'!B33</f>
        <v>Emergency Action Plans</v>
      </c>
      <c r="D139" t="str">
        <f>'Egress &amp; Emergency Action'!C33</f>
        <v>The employer must have a written Emergency Action Plan (EAP) whenever an OSHA standard requires one or whenever the employer must have an employee alarm system. The EAP must be kept in the workplace and available for employee review.</v>
      </c>
      <c r="E139" t="str">
        <f>'Egress &amp; Emergency Action'!E33</f>
        <v>Select rating</v>
      </c>
      <c r="F139">
        <f>'Egress &amp; Emergency Action'!F33</f>
        <v>0</v>
      </c>
      <c r="G139">
        <f>'Egress &amp; Emergency Action'!G33</f>
        <v>10</v>
      </c>
      <c r="H139">
        <f>'Egress &amp; Emergency Action'!H33</f>
        <v>0</v>
      </c>
      <c r="I139">
        <f>'Egress &amp; Emergency Action'!I33</f>
        <v>0</v>
      </c>
      <c r="J139" t="str">
        <f>'Egress &amp; Emergency Action'!J33</f>
        <v>29 CFR 1910.38(b)-(c)</v>
      </c>
      <c r="K139">
        <f>IF('Egress &amp; Emergency Action'!E33="Very High",5,IF('Egress &amp; Emergency Action'!E33="High",4,IF('Egress &amp; Emergency Action'!E33="Moderate",3,IF('Egress &amp; Emergency Action'!E33="Low",2,IF('Egress &amp; Emergency Action'!E33="Observation",1,0)))))</f>
        <v>0</v>
      </c>
      <c r="L139">
        <f>'Egress &amp; Emergency Action'!K33</f>
        <v>0</v>
      </c>
    </row>
    <row r="140" spans="1:12" ht="95.25" customHeight="1" x14ac:dyDescent="0.45">
      <c r="A140" t="s">
        <v>1554</v>
      </c>
      <c r="B140" t="str">
        <f>'Egress &amp; Emergency Action'!A34</f>
        <v>EG-14</v>
      </c>
      <c r="C140" t="str">
        <f>'Egress &amp; Emergency Action'!B34</f>
        <v>Emergency Action Plans</v>
      </c>
      <c r="D140" s="84" t="str">
        <f>'Egress &amp; Emergency Action'!C34</f>
        <v>The EAP must contain all of the following required elements:
(1) Procedures for reporting a fire or other emergency
(2) Procedures for emergency evacuation, including type of evacuation and exit route assignments
(3) Procedures to be followed by employees who remain to operate critical plant operations before they evacuate
(4) Procedures to account for all employees after evacuation
(5) Procedures for employees performing rescue or medical duties
(6) The name or job title of every employee who may be contacted by employees who need more information about the plan or an explanation of their duties under the plan</v>
      </c>
      <c r="E140" t="str">
        <f>'Egress &amp; Emergency Action'!E34</f>
        <v>Select rating</v>
      </c>
      <c r="F140">
        <f>'Egress &amp; Emergency Action'!F34</f>
        <v>0</v>
      </c>
      <c r="G140">
        <f>'Egress &amp; Emergency Action'!G34</f>
        <v>10</v>
      </c>
      <c r="H140">
        <f>'Egress &amp; Emergency Action'!H34</f>
        <v>0</v>
      </c>
      <c r="I140">
        <f>'Egress &amp; Emergency Action'!I34</f>
        <v>0</v>
      </c>
      <c r="J140" t="str">
        <f>'Egress &amp; Emergency Action'!J34</f>
        <v>29 CFR 1910.38(c)(1)-(c)(6)</v>
      </c>
      <c r="K140">
        <f>IF('Egress &amp; Emergency Action'!E34="Very High",5,IF('Egress &amp; Emergency Action'!E34="High",4,IF('Egress &amp; Emergency Action'!E34="Moderate",3,IF('Egress &amp; Emergency Action'!E34="Low",2,IF('Egress &amp; Emergency Action'!E34="Observation",1,0)))))</f>
        <v>0</v>
      </c>
      <c r="L140">
        <f>'Egress &amp; Emergency Action'!K34</f>
        <v>0</v>
      </c>
    </row>
    <row r="141" spans="1:12" ht="15" customHeight="1" x14ac:dyDescent="0.45">
      <c r="A141" t="s">
        <v>1554</v>
      </c>
      <c r="B141" t="str">
        <f>'Egress &amp; Emergency Action'!A35</f>
        <v>EG-15</v>
      </c>
      <c r="C141" t="str">
        <f>'Egress &amp; Emergency Action'!B35</f>
        <v>Emergency Action Plans</v>
      </c>
      <c r="D141" t="str">
        <f>'Egress &amp; Emergency Action'!C35</f>
        <v>The employer must designate and train employees to assist in safe and orderly evacuation. Training must be provided at initial assignment, whenever the plan changes, and at least annually.</v>
      </c>
      <c r="E141" t="str">
        <f>'Egress &amp; Emergency Action'!E35</f>
        <v>Select rating</v>
      </c>
      <c r="F141">
        <f>'Egress &amp; Emergency Action'!F35</f>
        <v>0</v>
      </c>
      <c r="G141">
        <f>'Egress &amp; Emergency Action'!G35</f>
        <v>8</v>
      </c>
      <c r="H141">
        <f>'Egress &amp; Emergency Action'!H35</f>
        <v>0</v>
      </c>
      <c r="I141">
        <f>'Egress &amp; Emergency Action'!I35</f>
        <v>0</v>
      </c>
      <c r="J141" t="str">
        <f>'Egress &amp; Emergency Action'!J35</f>
        <v>29 CFR 1910.38(d)-(e)</v>
      </c>
      <c r="K141">
        <f>IF('Egress &amp; Emergency Action'!E35="Very High",5,IF('Egress &amp; Emergency Action'!E35="High",4,IF('Egress &amp; Emergency Action'!E35="Moderate",3,IF('Egress &amp; Emergency Action'!E35="Low",2,IF('Egress &amp; Emergency Action'!E35="Observation",1,0)))))</f>
        <v>0</v>
      </c>
      <c r="L141">
        <f>'Egress &amp; Emergency Action'!K35</f>
        <v>0</v>
      </c>
    </row>
    <row r="142" spans="1:12" ht="15" customHeight="1" x14ac:dyDescent="0.45">
      <c r="A142" t="s">
        <v>1554</v>
      </c>
      <c r="B142" t="str">
        <f>'Egress &amp; Emergency Action'!A36</f>
        <v>EG-16</v>
      </c>
      <c r="C142" t="str">
        <f>'Egress &amp; Emergency Action'!B36</f>
        <v>Emergency Action Plans</v>
      </c>
      <c r="D142" t="str">
        <f>'Egress &amp; Emergency Action'!C36</f>
        <v>The employer must review the EAP with each employee at the following times: when the plan is developed or the employee is assigned initially; when the employee's responsibilities change; and when the plan changes.</v>
      </c>
      <c r="E142" t="str">
        <f>'Egress &amp; Emergency Action'!E36</f>
        <v>Select rating</v>
      </c>
      <c r="F142">
        <f>'Egress &amp; Emergency Action'!F36</f>
        <v>0</v>
      </c>
      <c r="G142">
        <f>'Egress &amp; Emergency Action'!G36</f>
        <v>8</v>
      </c>
      <c r="H142">
        <f>'Egress &amp; Emergency Action'!H36</f>
        <v>0</v>
      </c>
      <c r="I142">
        <f>'Egress &amp; Emergency Action'!I36</f>
        <v>0</v>
      </c>
      <c r="J142" t="str">
        <f>'Egress &amp; Emergency Action'!J36</f>
        <v>29 CFR 1910.38(f)</v>
      </c>
      <c r="K142">
        <f>IF('Egress &amp; Emergency Action'!E36="Very High",5,IF('Egress &amp; Emergency Action'!E36="High",4,IF('Egress &amp; Emergency Action'!E36="Moderate",3,IF('Egress &amp; Emergency Action'!E36="Low",2,IF('Egress &amp; Emergency Action'!E36="Observation",1,0)))))</f>
        <v>0</v>
      </c>
      <c r="L142">
        <f>'Egress &amp; Emergency Action'!K36</f>
        <v>0</v>
      </c>
    </row>
    <row r="143" spans="1:12" ht="15" customHeight="1" x14ac:dyDescent="0.45">
      <c r="A143" t="s">
        <v>1554</v>
      </c>
      <c r="B143" t="str">
        <f>'Egress &amp; Emergency Action'!A38</f>
        <v>EG-17</v>
      </c>
      <c r="C143" t="str">
        <f>'Egress &amp; Emergency Action'!B38</f>
        <v>Fire Prevention Plans</v>
      </c>
      <c r="D143" t="str">
        <f>'Egress &amp; Emergency Action'!C38</f>
        <v>Where an OSHA standard requires a Fire Prevention Plan (FPP), it must be in writing, kept in the workplace, and available for employee review. Exception: the employer may communicate the plan orally to employees if there are 10 or fewer employees.</v>
      </c>
      <c r="E143" t="str">
        <f>'Egress &amp; Emergency Action'!E38</f>
        <v>Select rating</v>
      </c>
      <c r="F143">
        <f>'Egress &amp; Emergency Action'!F38</f>
        <v>0</v>
      </c>
      <c r="G143">
        <f>'Egress &amp; Emergency Action'!G38</f>
        <v>6</v>
      </c>
      <c r="H143">
        <f>'Egress &amp; Emergency Action'!H38</f>
        <v>0</v>
      </c>
      <c r="I143">
        <f>'Egress &amp; Emergency Action'!I38</f>
        <v>0</v>
      </c>
      <c r="J143" t="str">
        <f>'Egress &amp; Emergency Action'!J38</f>
        <v>29 CFR 1910.39(b)-(c)</v>
      </c>
      <c r="K143">
        <f>IF('Egress &amp; Emergency Action'!E38="Very High",5,IF('Egress &amp; Emergency Action'!E38="High",4,IF('Egress &amp; Emergency Action'!E38="Moderate",3,IF('Egress &amp; Emergency Action'!E38="Low",2,IF('Egress &amp; Emergency Action'!E38="Observation",1,0)))))</f>
        <v>0</v>
      </c>
      <c r="L143">
        <f>'Egress &amp; Emergency Action'!K38</f>
        <v>0</v>
      </c>
    </row>
    <row r="144" spans="1:12" ht="15" customHeight="1" x14ac:dyDescent="0.45">
      <c r="A144" t="s">
        <v>1554</v>
      </c>
      <c r="B144" t="str">
        <f>'Egress &amp; Emergency Action'!A39</f>
        <v>EG-18</v>
      </c>
      <c r="C144" t="str">
        <f>'Egress &amp; Emergency Action'!B39</f>
        <v>Fire Prevention Plans</v>
      </c>
      <c r="D144" t="str">
        <f>'Egress &amp; Emergency Action'!C39</f>
        <v>The Fire Prevention Plan must contain: (1) a list of all major fire hazards, proper handling and storage procedures, potential ignition sources, and the type of fire protection equipment needed; (2) procedures to control accumulations of flammable and combustible waste materials; (3) procedures for regular maintenance of equipment designed to prevent or control sources of ignition or fires; (4) the name or job title of employees responsible for maintaining fire prevention equipment; (5) the name or job title of employees responsible for the control of fuel source hazards.</v>
      </c>
      <c r="E144" t="str">
        <f>'Egress &amp; Emergency Action'!E39</f>
        <v>Select rating</v>
      </c>
      <c r="F144">
        <f>'Egress &amp; Emergency Action'!F39</f>
        <v>0</v>
      </c>
      <c r="G144">
        <f>'Egress &amp; Emergency Action'!G39</f>
        <v>8</v>
      </c>
      <c r="H144">
        <f>'Egress &amp; Emergency Action'!H39</f>
        <v>0</v>
      </c>
      <c r="I144">
        <f>'Egress &amp; Emergency Action'!I39</f>
        <v>0</v>
      </c>
      <c r="J144" t="str">
        <f>'Egress &amp; Emergency Action'!J39</f>
        <v>29 CFR 1910.39(c)(1)-(c)(5)</v>
      </c>
      <c r="K144">
        <f>IF('Egress &amp; Emergency Action'!E39="Very High",5,IF('Egress &amp; Emergency Action'!E39="High",4,IF('Egress &amp; Emergency Action'!E39="Moderate",3,IF('Egress &amp; Emergency Action'!E39="Low",2,IF('Egress &amp; Emergency Action'!E39="Observation",1,0)))))</f>
        <v>0</v>
      </c>
      <c r="L144">
        <f>'Egress &amp; Emergency Action'!K39</f>
        <v>0</v>
      </c>
    </row>
    <row r="145" spans="1:12" ht="15" customHeight="1" x14ac:dyDescent="0.45">
      <c r="A145" t="s">
        <v>1554</v>
      </c>
      <c r="B145" t="str">
        <f>'Egress &amp; Emergency Action'!A40</f>
        <v>EG-19</v>
      </c>
      <c r="C145" t="str">
        <f>'Egress &amp; Emergency Action'!B40</f>
        <v>Fire Prevention Plans</v>
      </c>
      <c r="D145" t="str">
        <f>'Egress &amp; Emergency Action'!C40</f>
        <v>The employer must inform employees of the fire hazards of the materials and processes to which they are exposed, and review with each employee those parts of the FPP necessary for self-protection.</v>
      </c>
      <c r="E145" t="str">
        <f>'Egress &amp; Emergency Action'!E40</f>
        <v>Select rating</v>
      </c>
      <c r="F145">
        <f>'Egress &amp; Emergency Action'!F40</f>
        <v>0</v>
      </c>
      <c r="G145">
        <f>'Egress &amp; Emergency Action'!G40</f>
        <v>6</v>
      </c>
      <c r="H145">
        <f>'Egress &amp; Emergency Action'!H40</f>
        <v>0</v>
      </c>
      <c r="I145">
        <f>'Egress &amp; Emergency Action'!I40</f>
        <v>0</v>
      </c>
      <c r="J145" t="str">
        <f>'Egress &amp; Emergency Action'!J40</f>
        <v>29 CFR 1910.39(d)</v>
      </c>
      <c r="K145">
        <f>IF('Egress &amp; Emergency Action'!E40="Very High",5,IF('Egress &amp; Emergency Action'!E40="High",4,IF('Egress &amp; Emergency Action'!E40="Moderate",3,IF('Egress &amp; Emergency Action'!E40="Low",2,IF('Egress &amp; Emergency Action'!E40="Observation",1,0)))))</f>
        <v>0</v>
      </c>
      <c r="L145">
        <f>'Egress &amp; Emergency Action'!K40</f>
        <v>0</v>
      </c>
    </row>
    <row r="146" spans="1:12" ht="15" customHeight="1" x14ac:dyDescent="0.45">
      <c r="A146" t="s">
        <v>1555</v>
      </c>
      <c r="B146" t="str">
        <f>'Fire Protection &amp; Alarms'!A19</f>
        <v>FP-1</v>
      </c>
      <c r="C146" t="str">
        <f>'Fire Protection &amp; Alarms'!B19</f>
        <v>Portable Fire Extinguishers</v>
      </c>
      <c r="D146" t="str">
        <f>'Fire Protection &amp; Alarms'!C19</f>
        <v>Only approved portable fire extinguishers are permitted. Extinguishers must be mounted, located, and identified so they are readily accessible to employees without subjecting them to injury. Extinguishers must not be obstructed or obscured from view.</v>
      </c>
      <c r="E146" t="str">
        <f>'Fire Protection &amp; Alarms'!E19</f>
        <v>Select rating</v>
      </c>
      <c r="F146">
        <f>'Fire Protection &amp; Alarms'!F19</f>
        <v>0</v>
      </c>
      <c r="G146">
        <f>'Fire Protection &amp; Alarms'!G19</f>
        <v>8</v>
      </c>
      <c r="H146">
        <f>'Fire Protection &amp; Alarms'!H19</f>
        <v>0</v>
      </c>
      <c r="I146">
        <f>'Fire Protection &amp; Alarms'!I19</f>
        <v>0</v>
      </c>
      <c r="J146" t="str">
        <f>'Fire Protection &amp; Alarms'!J19</f>
        <v>29 CFR 1910.157(c)(1)</v>
      </c>
      <c r="K146">
        <f>IF('Fire Protection &amp; Alarms'!E19="Very High",5,IF('Fire Protection &amp; Alarms'!E19="High",4,IF('Fire Protection &amp; Alarms'!E19="Moderate",3,IF('Fire Protection &amp; Alarms'!E19="Low",2,IF('Fire Protection &amp; Alarms'!E19="Observation",1,0)))))</f>
        <v>0</v>
      </c>
      <c r="L146">
        <f>'Fire Protection &amp; Alarms'!K19</f>
        <v>0</v>
      </c>
    </row>
    <row r="147" spans="1:12" ht="15" customHeight="1" x14ac:dyDescent="0.45">
      <c r="A147" t="s">
        <v>1555</v>
      </c>
      <c r="B147" t="str">
        <f>'Fire Protection &amp; Alarms'!A20</f>
        <v>FP-2</v>
      </c>
      <c r="C147" t="str">
        <f>'Fire Protection &amp; Alarms'!B20</f>
        <v>Portable Fire Extinguishers</v>
      </c>
      <c r="D147" t="str">
        <f>'Fire Protection &amp; Alarms'!C20</f>
        <v>Portable fire extinguishers must be maintained in a fully charged, operable condition and kept in their designated locations. Monthly visual inspections and annual maintenance checks by a licensed service provider are required.</v>
      </c>
      <c r="E147" t="str">
        <f>'Fire Protection &amp; Alarms'!E20</f>
        <v>Select rating</v>
      </c>
      <c r="F147">
        <f>'Fire Protection &amp; Alarms'!F20</f>
        <v>0</v>
      </c>
      <c r="G147">
        <f>'Fire Protection &amp; Alarms'!G20</f>
        <v>10</v>
      </c>
      <c r="H147">
        <f>'Fire Protection &amp; Alarms'!H20</f>
        <v>0</v>
      </c>
      <c r="I147">
        <f>'Fire Protection &amp; Alarms'!I20</f>
        <v>0</v>
      </c>
      <c r="J147" t="str">
        <f>'Fire Protection &amp; Alarms'!J20</f>
        <v>29 CFR 1910.157(e)(1)-(e)(4)</v>
      </c>
      <c r="K147">
        <f>IF('Fire Protection &amp; Alarms'!E20="Very High",5,IF('Fire Protection &amp; Alarms'!E20="High",4,IF('Fire Protection &amp; Alarms'!E20="Moderate",3,IF('Fire Protection &amp; Alarms'!E20="Low",2,IF('Fire Protection &amp; Alarms'!E20="Observation",1,0)))))</f>
        <v>0</v>
      </c>
      <c r="L147">
        <f>'Fire Protection &amp; Alarms'!K20</f>
        <v>0</v>
      </c>
    </row>
    <row r="148" spans="1:12" ht="15" customHeight="1" x14ac:dyDescent="0.45">
      <c r="A148" t="s">
        <v>1555</v>
      </c>
      <c r="B148" t="str">
        <f>'Fire Protection &amp; Alarms'!A21</f>
        <v>FP-3</v>
      </c>
      <c r="C148" t="str">
        <f>'Fire Protection &amp; Alarms'!B21</f>
        <v>Portable Fire Extinguishers</v>
      </c>
      <c r="D148" t="str">
        <f>'Fire Protection &amp; Alarms'!C21</f>
        <v>Hydrostatic testing of portable extinguishers is required at intervals depending on extinguisher type: stored-pressure dry chemical = 12 years; CO2 = 5 years; pressurized water = 5 years; Halon = 12 years. Cylinders that fail testing must be condemned.</v>
      </c>
      <c r="E148" t="str">
        <f>'Fire Protection &amp; Alarms'!E21</f>
        <v>Select rating</v>
      </c>
      <c r="F148">
        <f>'Fire Protection &amp; Alarms'!F21</f>
        <v>0</v>
      </c>
      <c r="G148">
        <f>'Fire Protection &amp; Alarms'!G21</f>
        <v>6</v>
      </c>
      <c r="H148">
        <f>'Fire Protection &amp; Alarms'!H21</f>
        <v>0</v>
      </c>
      <c r="I148">
        <f>'Fire Protection &amp; Alarms'!I21</f>
        <v>0</v>
      </c>
      <c r="J148" t="str">
        <f>'Fire Protection &amp; Alarms'!J21</f>
        <v>29 CFR 1910.157(f)(1)-(f)(16)</v>
      </c>
      <c r="K148">
        <f>IF('Fire Protection &amp; Alarms'!E21="Very High",5,IF('Fire Protection &amp; Alarms'!E21="High",4,IF('Fire Protection &amp; Alarms'!E21="Moderate",3,IF('Fire Protection &amp; Alarms'!E21="Low",2,IF('Fire Protection &amp; Alarms'!E21="Observation",1,0)))))</f>
        <v>0</v>
      </c>
      <c r="L148">
        <f>'Fire Protection &amp; Alarms'!K21</f>
        <v>0</v>
      </c>
    </row>
    <row r="149" spans="1:12" ht="15" customHeight="1" x14ac:dyDescent="0.45">
      <c r="A149" t="s">
        <v>1555</v>
      </c>
      <c r="B149" t="str">
        <f>'Fire Protection &amp; Alarms'!A22</f>
        <v>FP-4</v>
      </c>
      <c r="C149" t="str">
        <f>'Fire Protection &amp; Alarms'!B22</f>
        <v>Portable Fire Extinguishers</v>
      </c>
      <c r="D149" t="str">
        <f>'Fire Protection &amp; Alarms'!C22</f>
        <v>Employees who are expected to use portable fire extinguishers must be trained at the time of initial assignment and annually thereafter. The training must cover the general principles of fire extinguisher use and the hazards involved with incipient stage firefighting.</v>
      </c>
      <c r="E149" t="str">
        <f>'Fire Protection &amp; Alarms'!E22</f>
        <v>Select rating</v>
      </c>
      <c r="F149">
        <f>'Fire Protection &amp; Alarms'!F22</f>
        <v>0</v>
      </c>
      <c r="G149">
        <f>'Fire Protection &amp; Alarms'!G22</f>
        <v>8</v>
      </c>
      <c r="H149">
        <f>'Fire Protection &amp; Alarms'!H22</f>
        <v>0</v>
      </c>
      <c r="I149">
        <f>'Fire Protection &amp; Alarms'!I22</f>
        <v>0</v>
      </c>
      <c r="J149" t="str">
        <f>'Fire Protection &amp; Alarms'!J22</f>
        <v>29 CFR 1910.157(g)(1)-(g)(2)</v>
      </c>
      <c r="K149">
        <f>IF('Fire Protection &amp; Alarms'!E22="Very High",5,IF('Fire Protection &amp; Alarms'!E22="High",4,IF('Fire Protection &amp; Alarms'!E22="Moderate",3,IF('Fire Protection &amp; Alarms'!E22="Low",2,IF('Fire Protection &amp; Alarms'!E22="Observation",1,0)))))</f>
        <v>0</v>
      </c>
      <c r="L149">
        <f>'Fire Protection &amp; Alarms'!K22</f>
        <v>0</v>
      </c>
    </row>
    <row r="150" spans="1:12" ht="15" customHeight="1" x14ac:dyDescent="0.45">
      <c r="A150" t="s">
        <v>1555</v>
      </c>
      <c r="B150" t="str">
        <f>'Fire Protection &amp; Alarms'!A24</f>
        <v>FP-5</v>
      </c>
      <c r="C150" t="str">
        <f>'Fire Protection &amp; Alarms'!B24</f>
        <v>Automatic Sprinkler Systems</v>
      </c>
      <c r="D150" t="str">
        <f>'Fire Protection &amp; Alarms'!C24</f>
        <v>Automatic sprinkler systems must be designed and installed using good engineering practices. Design and installation must be in accordance with NFPA 13 (Standard for the Installation of Sprinkler Systems) or another nationally recognized standard.</v>
      </c>
      <c r="E150" t="str">
        <f>'Fire Protection &amp; Alarms'!E24</f>
        <v>Select rating</v>
      </c>
      <c r="F150">
        <f>'Fire Protection &amp; Alarms'!F24</f>
        <v>0</v>
      </c>
      <c r="G150">
        <f>'Fire Protection &amp; Alarms'!G24</f>
        <v>8</v>
      </c>
      <c r="H150">
        <f>'Fire Protection &amp; Alarms'!H24</f>
        <v>0</v>
      </c>
      <c r="I150">
        <f>'Fire Protection &amp; Alarms'!I24</f>
        <v>0</v>
      </c>
      <c r="J150" t="str">
        <f>'Fire Protection &amp; Alarms'!J24</f>
        <v>29 CFR 1910.159(b)(1)-(b)(2)</v>
      </c>
      <c r="K150">
        <f>IF('Fire Protection &amp; Alarms'!E24="Very High",5,IF('Fire Protection &amp; Alarms'!E24="High",4,IF('Fire Protection &amp; Alarms'!E24="Moderate",3,IF('Fire Protection &amp; Alarms'!E24="Low",2,IF('Fire Protection &amp; Alarms'!E24="Observation",1,0)))))</f>
        <v>0</v>
      </c>
      <c r="L150">
        <f>'Fire Protection &amp; Alarms'!K24</f>
        <v>0</v>
      </c>
    </row>
    <row r="151" spans="1:12" ht="15" customHeight="1" x14ac:dyDescent="0.45">
      <c r="A151" t="s">
        <v>1555</v>
      </c>
      <c r="B151" t="str">
        <f>'Fire Protection &amp; Alarms'!A25</f>
        <v>FP-6</v>
      </c>
      <c r="C151" t="str">
        <f>'Fire Protection &amp; Alarms'!B25</f>
        <v>Automatic Sprinkler Systems</v>
      </c>
      <c r="D151" t="str">
        <f>'Fire Protection &amp; Alarms'!C25</f>
        <v>Automatic sprinkler systems must be properly maintained and undergo regular acceptance testing. At a minimum: quarterly inspections of control valves; annual inspection of the complete system; 5-year internal pipe inspection; trip test of dry and pre-action systems annually.</v>
      </c>
      <c r="E151" t="str">
        <f>'Fire Protection &amp; Alarms'!E25</f>
        <v>Select rating</v>
      </c>
      <c r="F151">
        <f>'Fire Protection &amp; Alarms'!F25</f>
        <v>0</v>
      </c>
      <c r="G151">
        <f>'Fire Protection &amp; Alarms'!G25</f>
        <v>8</v>
      </c>
      <c r="H151">
        <f>'Fire Protection &amp; Alarms'!H25</f>
        <v>0</v>
      </c>
      <c r="I151">
        <f>'Fire Protection &amp; Alarms'!I25</f>
        <v>0</v>
      </c>
      <c r="J151" t="str">
        <f>'Fire Protection &amp; Alarms'!J25</f>
        <v>29 CFR 1910.159(b)(3)</v>
      </c>
      <c r="K151">
        <f>IF('Fire Protection &amp; Alarms'!E25="Very High",5,IF('Fire Protection &amp; Alarms'!E25="High",4,IF('Fire Protection &amp; Alarms'!E25="Moderate",3,IF('Fire Protection &amp; Alarms'!E25="Low",2,IF('Fire Protection &amp; Alarms'!E25="Observation",1,0)))))</f>
        <v>0</v>
      </c>
      <c r="L151">
        <f>'Fire Protection &amp; Alarms'!K25</f>
        <v>0</v>
      </c>
    </row>
    <row r="152" spans="1:12" ht="15" customHeight="1" x14ac:dyDescent="0.45">
      <c r="A152" t="s">
        <v>1555</v>
      </c>
      <c r="B152" t="str">
        <f>'Fire Protection &amp; Alarms'!A26</f>
        <v>FP-7</v>
      </c>
      <c r="C152" t="str">
        <f>'Fire Protection &amp; Alarms'!B26</f>
        <v>Automatic Sprinkler Systems</v>
      </c>
      <c r="D152" t="str">
        <f>'Fire Protection &amp; Alarms'!C26</f>
        <v>Automatic sprinkler systems with more than 20 sprinklers must have a local waterflow alarm that sounds when the system activates. The alarm must be maintained in operating condition.</v>
      </c>
      <c r="E152" t="str">
        <f>'Fire Protection &amp; Alarms'!E26</f>
        <v>Select rating</v>
      </c>
      <c r="F152">
        <f>'Fire Protection &amp; Alarms'!F26</f>
        <v>0</v>
      </c>
      <c r="G152">
        <f>'Fire Protection &amp; Alarms'!G26</f>
        <v>6</v>
      </c>
      <c r="H152">
        <f>'Fire Protection &amp; Alarms'!H26</f>
        <v>0</v>
      </c>
      <c r="I152">
        <f>'Fire Protection &amp; Alarms'!I26</f>
        <v>0</v>
      </c>
      <c r="J152" t="str">
        <f>'Fire Protection &amp; Alarms'!J26</f>
        <v>29 CFR 1910.159(c)(1)</v>
      </c>
      <c r="K152">
        <f>IF('Fire Protection &amp; Alarms'!E26="Very High",5,IF('Fire Protection &amp; Alarms'!E26="High",4,IF('Fire Protection &amp; Alarms'!E26="Moderate",3,IF('Fire Protection &amp; Alarms'!E26="Low",2,IF('Fire Protection &amp; Alarms'!E26="Observation",1,0)))))</f>
        <v>0</v>
      </c>
      <c r="L152">
        <f>'Fire Protection &amp; Alarms'!K26</f>
        <v>0</v>
      </c>
    </row>
    <row r="153" spans="1:12" ht="15" customHeight="1" x14ac:dyDescent="0.45">
      <c r="A153" t="s">
        <v>1555</v>
      </c>
      <c r="B153" t="str">
        <f>'Fire Protection &amp; Alarms'!A27</f>
        <v>FP-8</v>
      </c>
      <c r="C153" t="str">
        <f>'Fire Protection &amp; Alarms'!B27</f>
        <v>Automatic Sprinkler Systems</v>
      </c>
      <c r="D153" t="str">
        <f>'Fire Protection &amp; Alarms'!C27</f>
        <v>Sprinkler spacing, placement, and clearance must ensure full coverage. A minimum 18-inch (46 cm) clearance must be maintained between the top of storage and sprinkler deflectors to ensure proper spray pattern distribution.</v>
      </c>
      <c r="E153" t="str">
        <f>'Fire Protection &amp; Alarms'!E27</f>
        <v>Select rating</v>
      </c>
      <c r="F153">
        <f>'Fire Protection &amp; Alarms'!F27</f>
        <v>0</v>
      </c>
      <c r="G153">
        <f>'Fire Protection &amp; Alarms'!G27</f>
        <v>8</v>
      </c>
      <c r="H153">
        <f>'Fire Protection &amp; Alarms'!H27</f>
        <v>0</v>
      </c>
      <c r="I153">
        <f>'Fire Protection &amp; Alarms'!I27</f>
        <v>0</v>
      </c>
      <c r="J153" t="str">
        <f>'Fire Protection &amp; Alarms'!J27</f>
        <v>29 CFR 1910.159(c)(10)</v>
      </c>
      <c r="K153">
        <f>IF('Fire Protection &amp; Alarms'!E27="Very High",5,IF('Fire Protection &amp; Alarms'!E27="High",4,IF('Fire Protection &amp; Alarms'!E27="Moderate",3,IF('Fire Protection &amp; Alarms'!E27="Low",2,IF('Fire Protection &amp; Alarms'!E27="Observation",1,0)))))</f>
        <v>0</v>
      </c>
      <c r="L153">
        <f>'Fire Protection &amp; Alarms'!K27</f>
        <v>0</v>
      </c>
    </row>
    <row r="154" spans="1:12" ht="15" customHeight="1" x14ac:dyDescent="0.45">
      <c r="A154" t="s">
        <v>1555</v>
      </c>
      <c r="B154" t="str">
        <f>'Fire Protection &amp; Alarms'!A29</f>
        <v>FP-9</v>
      </c>
      <c r="C154" t="str">
        <f>'Fire Protection &amp; Alarms'!B29</f>
        <v>Fire Detection Systems</v>
      </c>
      <c r="D154" t="str">
        <f>'Fire Protection &amp; Alarms'!C29</f>
        <v>Fire detection systems and all components must be approved. Systems must be restored to normal operating condition as quickly as possible after each test or alarm.</v>
      </c>
      <c r="E154" t="str">
        <f>'Fire Protection &amp; Alarms'!E29</f>
        <v>Select rating</v>
      </c>
      <c r="F154">
        <f>'Fire Protection &amp; Alarms'!F29</f>
        <v>0</v>
      </c>
      <c r="G154">
        <f>'Fire Protection &amp; Alarms'!G29</f>
        <v>6</v>
      </c>
      <c r="H154">
        <f>'Fire Protection &amp; Alarms'!H29</f>
        <v>0</v>
      </c>
      <c r="I154">
        <f>'Fire Protection &amp; Alarms'!I29</f>
        <v>0</v>
      </c>
      <c r="J154" t="str">
        <f>'Fire Protection &amp; Alarms'!J29</f>
        <v>29 CFR 1910.164(a)-(b)</v>
      </c>
      <c r="K154">
        <f>IF('Fire Protection &amp; Alarms'!E29="Very High",5,IF('Fire Protection &amp; Alarms'!E29="High",4,IF('Fire Protection &amp; Alarms'!E29="Moderate",3,IF('Fire Protection &amp; Alarms'!E29="Low",2,IF('Fire Protection &amp; Alarms'!E29="Observation",1,0)))))</f>
        <v>0</v>
      </c>
      <c r="L154">
        <f>'Fire Protection &amp; Alarms'!K29</f>
        <v>0</v>
      </c>
    </row>
    <row r="155" spans="1:12" ht="15" customHeight="1" x14ac:dyDescent="0.45">
      <c r="A155" t="s">
        <v>1555</v>
      </c>
      <c r="B155" t="str">
        <f>'Fire Protection &amp; Alarms'!A30</f>
        <v>FP-10</v>
      </c>
      <c r="C155" t="str">
        <f>'Fire Protection &amp; Alarms'!B30</f>
        <v>Fire Detection Systems</v>
      </c>
      <c r="D155" t="str">
        <f>'Fire Protection &amp; Alarms'!C30</f>
        <v>Fire detectors must be maintained, tested, and adjusted regularly to ensure proper operation. Test schedules must follow the manufacturer's recommendations and NFPA 72 requirements. Detectors that fail testing must be repaired or replaced immediately.</v>
      </c>
      <c r="E155" t="str">
        <f>'Fire Protection &amp; Alarms'!E30</f>
        <v>Select rating</v>
      </c>
      <c r="F155">
        <f>'Fire Protection &amp; Alarms'!F30</f>
        <v>0</v>
      </c>
      <c r="G155">
        <f>'Fire Protection &amp; Alarms'!G30</f>
        <v>8</v>
      </c>
      <c r="H155">
        <f>'Fire Protection &amp; Alarms'!H30</f>
        <v>0</v>
      </c>
      <c r="I155">
        <f>'Fire Protection &amp; Alarms'!I30</f>
        <v>0</v>
      </c>
      <c r="J155" t="str">
        <f>'Fire Protection &amp; Alarms'!J30</f>
        <v>29 CFR 1910.164(c)-(e)</v>
      </c>
      <c r="K155">
        <f>IF('Fire Protection &amp; Alarms'!E30="Very High",5,IF('Fire Protection &amp; Alarms'!E30="High",4,IF('Fire Protection &amp; Alarms'!E30="Moderate",3,IF('Fire Protection &amp; Alarms'!E30="Low",2,IF('Fire Protection &amp; Alarms'!E30="Observation",1,0)))))</f>
        <v>0</v>
      </c>
      <c r="L155">
        <f>'Fire Protection &amp; Alarms'!K30</f>
        <v>0</v>
      </c>
    </row>
    <row r="156" spans="1:12" ht="15" customHeight="1" x14ac:dyDescent="0.45">
      <c r="A156" t="s">
        <v>1555</v>
      </c>
      <c r="B156" t="str">
        <f>'Fire Protection &amp; Alarms'!A31</f>
        <v>FP-11</v>
      </c>
      <c r="C156" t="str">
        <f>'Fire Protection &amp; Alarms'!B31</f>
        <v>Fire Detection Systems</v>
      </c>
      <c r="D156" t="str">
        <f>'Fire Protection &amp; Alarms'!C31</f>
        <v>Fire detection systems must be protected from corrosive atmospheres, mechanical damage, and environmental conditions that could cause false alarms or system failure. The number, locations, and spacing of detectors must be based on engineering principles and the manufacturer's specifications.</v>
      </c>
      <c r="E156" t="str">
        <f>'Fire Protection &amp; Alarms'!E31</f>
        <v>Select rating</v>
      </c>
      <c r="F156">
        <f>'Fire Protection &amp; Alarms'!F31</f>
        <v>0</v>
      </c>
      <c r="G156">
        <f>'Fire Protection &amp; Alarms'!G31</f>
        <v>6</v>
      </c>
      <c r="H156">
        <f>'Fire Protection &amp; Alarms'!H31</f>
        <v>0</v>
      </c>
      <c r="I156">
        <f>'Fire Protection &amp; Alarms'!I31</f>
        <v>0</v>
      </c>
      <c r="J156" t="str">
        <f>'Fire Protection &amp; Alarms'!J31</f>
        <v>29 CFR 1910.164(d)-(f)</v>
      </c>
      <c r="K156">
        <f>IF('Fire Protection &amp; Alarms'!E31="Very High",5,IF('Fire Protection &amp; Alarms'!E31="High",4,IF('Fire Protection &amp; Alarms'!E31="Moderate",3,IF('Fire Protection &amp; Alarms'!E31="Low",2,IF('Fire Protection &amp; Alarms'!E31="Observation",1,0)))))</f>
        <v>0</v>
      </c>
      <c r="L156">
        <f>'Fire Protection &amp; Alarms'!K31</f>
        <v>0</v>
      </c>
    </row>
    <row r="157" spans="1:12" ht="15" customHeight="1" x14ac:dyDescent="0.45">
      <c r="A157" t="s">
        <v>1555</v>
      </c>
      <c r="B157" t="str">
        <f>'Fire Protection &amp; Alarms'!A33</f>
        <v>FP-12</v>
      </c>
      <c r="C157" t="str">
        <f>'Fire Protection &amp; Alarms'!B33</f>
        <v>Employee Alarm Systems</v>
      </c>
      <c r="D157" t="str">
        <f>'Fire Protection &amp; Alarms'!C33</f>
        <v>Employee alarm systems must be capable of providing sufficient warning to permit all employees to safely evacuate the building before conditions become hazardous. The alarm must be distinctive from all other sounds in the facility.</v>
      </c>
      <c r="E157" t="str">
        <f>'Fire Protection &amp; Alarms'!E33</f>
        <v>Select rating</v>
      </c>
      <c r="F157">
        <f>'Fire Protection &amp; Alarms'!F33</f>
        <v>0</v>
      </c>
      <c r="G157">
        <f>'Fire Protection &amp; Alarms'!G33</f>
        <v>10</v>
      </c>
      <c r="H157">
        <f>'Fire Protection &amp; Alarms'!H33</f>
        <v>0</v>
      </c>
      <c r="I157">
        <f>'Fire Protection &amp; Alarms'!I33</f>
        <v>0</v>
      </c>
      <c r="J157" t="str">
        <f>'Fire Protection &amp; Alarms'!J33</f>
        <v>29 CFR 1910.165(b)(1)-(b)(2)</v>
      </c>
      <c r="K157">
        <f>IF('Fire Protection &amp; Alarms'!E33="Very High",5,IF('Fire Protection &amp; Alarms'!E33="High",4,IF('Fire Protection &amp; Alarms'!E33="Moderate",3,IF('Fire Protection &amp; Alarms'!E33="Low",2,IF('Fire Protection &amp; Alarms'!E33="Observation",1,0)))))</f>
        <v>0</v>
      </c>
      <c r="L157">
        <f>'Fire Protection &amp; Alarms'!K33</f>
        <v>0</v>
      </c>
    </row>
    <row r="158" spans="1:12" ht="15" customHeight="1" x14ac:dyDescent="0.45">
      <c r="A158" t="s">
        <v>1555</v>
      </c>
      <c r="B158" t="str">
        <f>'Fire Protection &amp; Alarms'!A34</f>
        <v>FP-13</v>
      </c>
      <c r="C158" t="str">
        <f>'Fire Protection &amp; Alarms'!B34</f>
        <v>Employee Alarm Systems</v>
      </c>
      <c r="D158" t="str">
        <f>'Fire Protection &amp; Alarms'!C34</f>
        <v>Employee alarm systems must be properly installed and restored to normal operating condition as quickly as possible after each use. The system must be in continuous operation except during repair or maintenance.</v>
      </c>
      <c r="E158" t="str">
        <f>'Fire Protection &amp; Alarms'!E34</f>
        <v>Select rating</v>
      </c>
      <c r="F158">
        <f>'Fire Protection &amp; Alarms'!F34</f>
        <v>0</v>
      </c>
      <c r="G158">
        <f>'Fire Protection &amp; Alarms'!G34</f>
        <v>6</v>
      </c>
      <c r="H158">
        <f>'Fire Protection &amp; Alarms'!H34</f>
        <v>0</v>
      </c>
      <c r="I158">
        <f>'Fire Protection &amp; Alarms'!I34</f>
        <v>0</v>
      </c>
      <c r="J158" t="str">
        <f>'Fire Protection &amp; Alarms'!J34</f>
        <v>29 CFR 1910.165(b)(3)-(b)(4)</v>
      </c>
      <c r="K158">
        <f>IF('Fire Protection &amp; Alarms'!E34="Very High",5,IF('Fire Protection &amp; Alarms'!E34="High",4,IF('Fire Protection &amp; Alarms'!E34="Moderate",3,IF('Fire Protection &amp; Alarms'!E34="Low",2,IF('Fire Protection &amp; Alarms'!E34="Observation",1,0)))))</f>
        <v>0</v>
      </c>
      <c r="L158">
        <f>'Fire Protection &amp; Alarms'!K34</f>
        <v>0</v>
      </c>
    </row>
    <row r="159" spans="1:12" ht="15" customHeight="1" x14ac:dyDescent="0.45">
      <c r="A159" t="s">
        <v>1555</v>
      </c>
      <c r="B159" t="str">
        <f>'Fire Protection &amp; Alarms'!A35</f>
        <v>FP-14</v>
      </c>
      <c r="C159" t="str">
        <f>'Fire Protection &amp; Alarms'!B35</f>
        <v>Employee Alarm Systems</v>
      </c>
      <c r="D159" t="str">
        <f>'Fire Protection &amp; Alarms'!C35</f>
        <v>Employee alarm systems must be maintained and tested properly. All components must be kept in operating condition except when undergoing maintenance. The employer must establish procedures for testing the alarm and must test the system at least quarterly.</v>
      </c>
      <c r="E159" t="str">
        <f>'Fire Protection &amp; Alarms'!E35</f>
        <v>Select rating</v>
      </c>
      <c r="F159">
        <f>'Fire Protection &amp; Alarms'!F35</f>
        <v>0</v>
      </c>
      <c r="G159">
        <f>'Fire Protection &amp; Alarms'!G35</f>
        <v>8</v>
      </c>
      <c r="H159">
        <f>'Fire Protection &amp; Alarms'!H35</f>
        <v>0</v>
      </c>
      <c r="I159">
        <f>'Fire Protection &amp; Alarms'!I35</f>
        <v>0</v>
      </c>
      <c r="J159" t="str">
        <f>'Fire Protection &amp; Alarms'!J35</f>
        <v>29 CFR 1910.165(d)(1)-(d)(2)</v>
      </c>
      <c r="K159">
        <f>IF('Fire Protection &amp; Alarms'!E35="Very High",5,IF('Fire Protection &amp; Alarms'!E35="High",4,IF('Fire Protection &amp; Alarms'!E35="Moderate",3,IF('Fire Protection &amp; Alarms'!E35="Low",2,IF('Fire Protection &amp; Alarms'!E35="Observation",1,0)))))</f>
        <v>0</v>
      </c>
      <c r="L159">
        <f>'Fire Protection &amp; Alarms'!K35</f>
        <v>0</v>
      </c>
    </row>
    <row r="160" spans="1:12" ht="15" customHeight="1" x14ac:dyDescent="0.45">
      <c r="A160" t="s">
        <v>1555</v>
      </c>
      <c r="B160" t="str">
        <f>'Fire Protection &amp; Alarms'!A36</f>
        <v>FP-15</v>
      </c>
      <c r="C160" t="str">
        <f>'Fire Protection &amp; Alarms'!B36</f>
        <v>Employee Alarm Systems</v>
      </c>
      <c r="D160" t="str">
        <f>'Fire Protection &amp; Alarms'!C36</f>
        <v>Manually operated actuation devices for employee alarm systems must be unobstructed, conspicuous, and readily accessible.</v>
      </c>
      <c r="E160" t="str">
        <f>'Fire Protection &amp; Alarms'!E36</f>
        <v>Select rating</v>
      </c>
      <c r="F160">
        <f>'Fire Protection &amp; Alarms'!F36</f>
        <v>0</v>
      </c>
      <c r="G160">
        <f>'Fire Protection &amp; Alarms'!G36</f>
        <v>6</v>
      </c>
      <c r="H160">
        <f>'Fire Protection &amp; Alarms'!H36</f>
        <v>0</v>
      </c>
      <c r="I160">
        <f>'Fire Protection &amp; Alarms'!I36</f>
        <v>0</v>
      </c>
      <c r="J160" t="str">
        <f>'Fire Protection &amp; Alarms'!J36</f>
        <v>29 CFR 1910.165(e)(1)-(e)(3)</v>
      </c>
      <c r="K160">
        <f>IF('Fire Protection &amp; Alarms'!E36="Very High",5,IF('Fire Protection &amp; Alarms'!E36="High",4,IF('Fire Protection &amp; Alarms'!E36="Moderate",3,IF('Fire Protection &amp; Alarms'!E36="Low",2,IF('Fire Protection &amp; Alarms'!E36="Observation",1,0)))))</f>
        <v>0</v>
      </c>
      <c r="L160">
        <f>'Fire Protection &amp; Alarms'!K36</f>
        <v>0</v>
      </c>
    </row>
    <row r="161" spans="1:12" ht="15" customHeight="1" x14ac:dyDescent="0.45">
      <c r="A161" t="s">
        <v>1555</v>
      </c>
      <c r="B161" t="str">
        <f>'Fire Protection &amp; Alarms'!A38</f>
        <v>FP-16</v>
      </c>
      <c r="C161" t="str">
        <f>'Fire Protection &amp; Alarms'!B38</f>
        <v>Standpipe &amp; Hose Systems</v>
      </c>
      <c r="D161" t="str">
        <f>'Fire Protection &amp; Alarms'!C38</f>
        <v>Where standpipe and hose systems are installed, they must be: properly located with hose connections readily accessible; designed and installed to facilitate prompt use; equipped with hoses and nozzles that are tested and maintained; connected to an adequate water supply.</v>
      </c>
      <c r="E161" t="str">
        <f>'Fire Protection &amp; Alarms'!E38</f>
        <v>Select rating</v>
      </c>
      <c r="F161">
        <f>'Fire Protection &amp; Alarms'!F38</f>
        <v>0</v>
      </c>
      <c r="G161">
        <f>'Fire Protection &amp; Alarms'!G38</f>
        <v>6</v>
      </c>
      <c r="H161">
        <f>'Fire Protection &amp; Alarms'!H38</f>
        <v>0</v>
      </c>
      <c r="I161">
        <f>'Fire Protection &amp; Alarms'!I38</f>
        <v>0</v>
      </c>
      <c r="J161" t="str">
        <f>'Fire Protection &amp; Alarms'!J38</f>
        <v>29 CFR 1910.158(b)-(d)</v>
      </c>
      <c r="K161">
        <f>IF('Fire Protection &amp; Alarms'!E38="Very High",5,IF('Fire Protection &amp; Alarms'!E38="High",4,IF('Fire Protection &amp; Alarms'!E38="Moderate",3,IF('Fire Protection &amp; Alarms'!E38="Low",2,IF('Fire Protection &amp; Alarms'!E38="Observation",1,0)))))</f>
        <v>0</v>
      </c>
      <c r="L161">
        <f>'Fire Protection &amp; Alarms'!K38</f>
        <v>0</v>
      </c>
    </row>
    <row r="162" spans="1:12" ht="15" customHeight="1" x14ac:dyDescent="0.45">
      <c r="A162" t="s">
        <v>1555</v>
      </c>
      <c r="B162" t="str">
        <f>'Fire Protection &amp; Alarms'!A40</f>
        <v>FP-17</v>
      </c>
      <c r="C162" t="str">
        <f>'Fire Protection &amp; Alarms'!B40</f>
        <v>State &amp; Local Fire Requirements</v>
      </c>
      <c r="D162" t="str">
        <f>'Fire Protection &amp; Alarms'!C40</f>
        <v>States and local jurisdictions often adopt fire codes (NFPA 1, IFC, state-specific codes) that are more stringent than federal OSHA requirements. The site must meet applicable state and local fire marshal requirements, including hot work permits, impairment procedures, and occupancy-specific requirements.</v>
      </c>
      <c r="E162" t="str">
        <f>'Fire Protection &amp; Alarms'!E40</f>
        <v>Select rating</v>
      </c>
      <c r="F162">
        <f>'Fire Protection &amp; Alarms'!F40</f>
        <v>0</v>
      </c>
      <c r="G162">
        <f>'Fire Protection &amp; Alarms'!G40</f>
        <v>6</v>
      </c>
      <c r="H162">
        <f>'Fire Protection &amp; Alarms'!H40</f>
        <v>0</v>
      </c>
      <c r="I162">
        <f>'Fire Protection &amp; Alarms'!I40</f>
        <v>0</v>
      </c>
      <c r="J162" t="str">
        <f>'Fire Protection &amp; Alarms'!J40</f>
        <v>State/local fire codes</v>
      </c>
      <c r="K162">
        <f>IF('Fire Protection &amp; Alarms'!E40="Very High",5,IF('Fire Protection &amp; Alarms'!E40="High",4,IF('Fire Protection &amp; Alarms'!E40="Moderate",3,IF('Fire Protection &amp; Alarms'!E40="Low",2,IF('Fire Protection &amp; Alarms'!E40="Observation",1,0)))))</f>
        <v>0</v>
      </c>
      <c r="L162">
        <f>'Fire Protection &amp; Alarms'!K40</f>
        <v>0</v>
      </c>
    </row>
    <row r="163" spans="1:12" ht="15" customHeight="1" x14ac:dyDescent="0.45">
      <c r="A163" t="s">
        <v>169</v>
      </c>
      <c r="B163" t="str">
        <f>'Machine Guarding'!A19</f>
        <v>MG-1</v>
      </c>
      <c r="C163" t="str">
        <f>'Machine Guarding'!B19</f>
        <v>General Machine Guarding Requirements</v>
      </c>
      <c r="D163" t="str">
        <f>'Machine Guarding'!C19</f>
        <v>Machine guards must be provided to protect persons in the machine area from hazards created by point of operation, ingoing nip points, rotating parts, flying chips, and sparks. Guards must be affixed to the machine where possible and secured to prevent displacement during operations.</v>
      </c>
      <c r="E163" t="str">
        <f>'Machine Guarding'!E19</f>
        <v>Select rating</v>
      </c>
      <c r="F163">
        <f>'Machine Guarding'!F19</f>
        <v>0</v>
      </c>
      <c r="G163">
        <f>'Machine Guarding'!G19</f>
        <v>10</v>
      </c>
      <c r="H163">
        <f>'Machine Guarding'!H19</f>
        <v>0</v>
      </c>
      <c r="I163">
        <f>'Machine Guarding'!I19</f>
        <v>0</v>
      </c>
      <c r="J163" t="str">
        <f>'Machine Guarding'!J19</f>
        <v>29 CFR 1910.212(a)(1)-(a)(2)</v>
      </c>
      <c r="K163">
        <f>IF('Machine Guarding'!E19="Very High",5,IF('Machine Guarding'!E19="High",4,IF('Machine Guarding'!E19="Moderate",3,IF('Machine Guarding'!E19="Low",2,IF('Machine Guarding'!E19="Observation",1,0)))))</f>
        <v>0</v>
      </c>
      <c r="L163">
        <f>'Machine Guarding'!K19</f>
        <v>0</v>
      </c>
    </row>
    <row r="164" spans="1:12" ht="15" customHeight="1" x14ac:dyDescent="0.45">
      <c r="A164" t="s">
        <v>169</v>
      </c>
      <c r="B164" t="str">
        <f>'Machine Guarding'!A20</f>
        <v>MG-2</v>
      </c>
      <c r="C164" t="str">
        <f>'Machine Guarding'!B20</f>
        <v>General Machine Guarding Requirements</v>
      </c>
      <c r="D164" t="str">
        <f>'Machine Guarding'!C20</f>
        <v>Points of operation that expose an employee to injury from rotating, reciprocating, transverse, or cutting actions must be guarded. The guarding device must prevent the operator's hands, arms, or other body parts from making contact with the danger zone during the operating cycle.</v>
      </c>
      <c r="E164" t="str">
        <f>'Machine Guarding'!E20</f>
        <v>Select rating</v>
      </c>
      <c r="F164">
        <f>'Machine Guarding'!F20</f>
        <v>0</v>
      </c>
      <c r="G164">
        <f>'Machine Guarding'!G20</f>
        <v>10</v>
      </c>
      <c r="H164">
        <f>'Machine Guarding'!H20</f>
        <v>0</v>
      </c>
      <c r="I164">
        <f>'Machine Guarding'!I20</f>
        <v>0</v>
      </c>
      <c r="J164" t="str">
        <f>'Machine Guarding'!J20</f>
        <v>29 CFR 1910.212(a)(3)(ii),(a)(3)(iv)</v>
      </c>
      <c r="K164">
        <f>IF('Machine Guarding'!E20="Very High",5,IF('Machine Guarding'!E20="High",4,IF('Machine Guarding'!E20="Moderate",3,IF('Machine Guarding'!E20="Low",2,IF('Machine Guarding'!E20="Observation",1,0)))))</f>
        <v>0</v>
      </c>
      <c r="L164">
        <f>'Machine Guarding'!K20</f>
        <v>0</v>
      </c>
    </row>
    <row r="165" spans="1:12" ht="15" customHeight="1" x14ac:dyDescent="0.45">
      <c r="A165" t="s">
        <v>169</v>
      </c>
      <c r="B165" t="str">
        <f>'Machine Guarding'!A21</f>
        <v>MG-3</v>
      </c>
      <c r="C165" t="str">
        <f>'Machine Guarding'!B21</f>
        <v>General Machine Guarding Requirements</v>
      </c>
      <c r="D165" t="str">
        <f>'Machine Guarding'!C21</f>
        <v>Special hand tools used to place or remove material from a point of operation must be designed to handle material safely, and must not be used in place of proper guarding. The tools must allow the safe placement and removal of materials without the operator placing their hands into the point of operation.</v>
      </c>
      <c r="E165" t="str">
        <f>'Machine Guarding'!E21</f>
        <v>Select rating</v>
      </c>
      <c r="F165">
        <f>'Machine Guarding'!F21</f>
        <v>0</v>
      </c>
      <c r="G165">
        <f>'Machine Guarding'!G21</f>
        <v>6</v>
      </c>
      <c r="H165">
        <f>'Machine Guarding'!H21</f>
        <v>0</v>
      </c>
      <c r="I165">
        <f>'Machine Guarding'!I21</f>
        <v>0</v>
      </c>
      <c r="J165" t="str">
        <f>'Machine Guarding'!J21</f>
        <v>29 CFR 1910.212(a)(3)(iii)</v>
      </c>
      <c r="K165">
        <f>IF('Machine Guarding'!E21="Very High",5,IF('Machine Guarding'!E21="High",4,IF('Machine Guarding'!E21="Moderate",3,IF('Machine Guarding'!E21="Low",2,IF('Machine Guarding'!E21="Observation",1,0)))))</f>
        <v>0</v>
      </c>
      <c r="L165">
        <f>'Machine Guarding'!K21</f>
        <v>0</v>
      </c>
    </row>
    <row r="166" spans="1:12" ht="15" customHeight="1" x14ac:dyDescent="0.45">
      <c r="A166" t="s">
        <v>169</v>
      </c>
      <c r="B166" t="str">
        <f>'Machine Guarding'!A22</f>
        <v>MG-4</v>
      </c>
      <c r="C166" t="str">
        <f>'Machine Guarding'!B22</f>
        <v>General Machine Guarding Requirements</v>
      </c>
      <c r="D166" t="str">
        <f>'Machine Guarding'!C22</f>
        <v>Revolving drums, barrels, and containers that are used as part of a production process must be guarded by an enclosure that interlocks with the drive mechanism so the drive is disengaged when the guard is opened.</v>
      </c>
      <c r="E166" t="str">
        <f>'Machine Guarding'!E22</f>
        <v>Select rating</v>
      </c>
      <c r="F166">
        <f>'Machine Guarding'!F22</f>
        <v>0</v>
      </c>
      <c r="G166">
        <f>'Machine Guarding'!G22</f>
        <v>6</v>
      </c>
      <c r="H166">
        <f>'Machine Guarding'!H22</f>
        <v>0</v>
      </c>
      <c r="I166">
        <f>'Machine Guarding'!I22</f>
        <v>0</v>
      </c>
      <c r="J166" t="str">
        <f>'Machine Guarding'!J22</f>
        <v>29 CFR 1910.212(a)(4)</v>
      </c>
      <c r="K166">
        <f>IF('Machine Guarding'!E22="Very High",5,IF('Machine Guarding'!E22="High",4,IF('Machine Guarding'!E22="Moderate",3,IF('Machine Guarding'!E22="Low",2,IF('Machine Guarding'!E22="Observation",1,0)))))</f>
        <v>0</v>
      </c>
      <c r="L166">
        <f>'Machine Guarding'!K22</f>
        <v>0</v>
      </c>
    </row>
    <row r="167" spans="1:12" ht="15" customHeight="1" x14ac:dyDescent="0.45">
      <c r="A167" t="s">
        <v>169</v>
      </c>
      <c r="B167" t="str">
        <f>'Machine Guarding'!A23</f>
        <v>MG-5</v>
      </c>
      <c r="C167" t="str">
        <f>'Machine Guarding'!B23</f>
        <v>General Machine Guarding Requirements</v>
      </c>
      <c r="D167" t="str">
        <f>'Machine Guarding'!C23</f>
        <v>Fan blades must be guarded by a guard with openings no larger than 1/2 inch (1.3 cm) where the periphery of the fan is less than 7 feet from the floor or working level.</v>
      </c>
      <c r="E167" t="str">
        <f>'Machine Guarding'!E23</f>
        <v>Select rating</v>
      </c>
      <c r="F167">
        <f>'Machine Guarding'!F23</f>
        <v>0</v>
      </c>
      <c r="G167">
        <f>'Machine Guarding'!G23</f>
        <v>6</v>
      </c>
      <c r="H167">
        <f>'Machine Guarding'!H23</f>
        <v>0</v>
      </c>
      <c r="I167">
        <f>'Machine Guarding'!I23</f>
        <v>0</v>
      </c>
      <c r="J167" t="str">
        <f>'Machine Guarding'!J23</f>
        <v>29 CFR 1910.212(a)(5)</v>
      </c>
      <c r="K167">
        <f>IF('Machine Guarding'!E23="Very High",5,IF('Machine Guarding'!E23="High",4,IF('Machine Guarding'!E23="Moderate",3,IF('Machine Guarding'!E23="Low",2,IF('Machine Guarding'!E23="Observation",1,0)))))</f>
        <v>0</v>
      </c>
      <c r="L167">
        <f>'Machine Guarding'!K23</f>
        <v>0</v>
      </c>
    </row>
    <row r="168" spans="1:12" ht="15" customHeight="1" x14ac:dyDescent="0.45">
      <c r="A168" t="s">
        <v>169</v>
      </c>
      <c r="B168" t="str">
        <f>'Machine Guarding'!A24</f>
        <v>MG-6</v>
      </c>
      <c r="C168" t="str">
        <f>'Machine Guarding'!B24</f>
        <v>General Machine Guarding Requirements</v>
      </c>
      <c r="D168" t="str">
        <f>'Machine Guarding'!C24</f>
        <v>Machines designed for a fixed location must be securely anchored to prevent movement that could cause a hazard to the operator or others. Unsecured machines that could tip or shift during operation must be anchored or braced.</v>
      </c>
      <c r="E168" t="str">
        <f>'Machine Guarding'!E24</f>
        <v>Select rating</v>
      </c>
      <c r="F168">
        <f>'Machine Guarding'!F24</f>
        <v>0</v>
      </c>
      <c r="G168">
        <f>'Machine Guarding'!G24</f>
        <v>5</v>
      </c>
      <c r="H168">
        <f>'Machine Guarding'!H24</f>
        <v>0</v>
      </c>
      <c r="I168">
        <f>'Machine Guarding'!I24</f>
        <v>0</v>
      </c>
      <c r="J168" t="str">
        <f>'Machine Guarding'!J24</f>
        <v>29 CFR 1910.212(b)</v>
      </c>
      <c r="K168">
        <f>IF('Machine Guarding'!E24="Very High",5,IF('Machine Guarding'!E24="High",4,IF('Machine Guarding'!E24="Moderate",3,IF('Machine Guarding'!E24="Low",2,IF('Machine Guarding'!E24="Observation",1,0)))))</f>
        <v>0</v>
      </c>
      <c r="L168">
        <f>'Machine Guarding'!K24</f>
        <v>0</v>
      </c>
    </row>
    <row r="169" spans="1:12" ht="15" customHeight="1" x14ac:dyDescent="0.45">
      <c r="A169" t="s">
        <v>169</v>
      </c>
      <c r="B169" t="str">
        <f>'Machine Guarding'!A26</f>
        <v>MG-7</v>
      </c>
      <c r="C169" t="str">
        <f>'Machine Guarding'!B26</f>
        <v>Abrasive Wheel Machinery</v>
      </c>
      <c r="D169" t="str">
        <f>'Machine Guarding'!C26</f>
        <v>Abrasive wheel safety guards must be used on all bench and pedestal grinders. Guards must be designed and sized to retain fragments in case of wheel breakage and must meet ANSI B7.1 design specifications.</v>
      </c>
      <c r="E169" t="str">
        <f>'Machine Guarding'!E26</f>
        <v>Select rating</v>
      </c>
      <c r="F169">
        <f>'Machine Guarding'!F26</f>
        <v>0</v>
      </c>
      <c r="G169">
        <f>'Machine Guarding'!G26</f>
        <v>8</v>
      </c>
      <c r="H169">
        <f>'Machine Guarding'!H26</f>
        <v>0</v>
      </c>
      <c r="I169">
        <f>'Machine Guarding'!I26</f>
        <v>0</v>
      </c>
      <c r="J169" t="str">
        <f>'Machine Guarding'!J26</f>
        <v>29 CFR 1910.215(a)(1)-(a)(2),(b)(1)-(b)(14)</v>
      </c>
      <c r="K169">
        <f>IF('Machine Guarding'!E26="Very High",5,IF('Machine Guarding'!E26="High",4,IF('Machine Guarding'!E26="Moderate",3,IF('Machine Guarding'!E26="Low",2,IF('Machine Guarding'!E26="Observation",1,0)))))</f>
        <v>0</v>
      </c>
      <c r="L169">
        <f>'Machine Guarding'!K26</f>
        <v>0</v>
      </c>
    </row>
    <row r="170" spans="1:12" ht="15" customHeight="1" x14ac:dyDescent="0.45">
      <c r="A170" t="s">
        <v>169</v>
      </c>
      <c r="B170" t="str">
        <f>'Machine Guarding'!A27</f>
        <v>MG-8</v>
      </c>
      <c r="C170" t="str">
        <f>'Machine Guarding'!B27</f>
        <v>Abrasive Wheel Machinery</v>
      </c>
      <c r="D170" t="str">
        <f>'Machine Guarding'!C27</f>
        <v>A work rest must be used to support the work on bench and pedestal grinders. The work rest must be: rigidly mounted; adjustable; kept adjusted to within 1/8 inch (3.2 mm) of the wheel; and positioned so the work piece cannot be drawn between the rest and the wheel.</v>
      </c>
      <c r="E170" t="str">
        <f>'Machine Guarding'!E27</f>
        <v>Select rating</v>
      </c>
      <c r="F170">
        <f>'Machine Guarding'!F27</f>
        <v>0</v>
      </c>
      <c r="G170">
        <f>'Machine Guarding'!G27</f>
        <v>8</v>
      </c>
      <c r="H170">
        <f>'Machine Guarding'!H27</f>
        <v>0</v>
      </c>
      <c r="I170">
        <f>'Machine Guarding'!I27</f>
        <v>0</v>
      </c>
      <c r="J170" t="str">
        <f>'Machine Guarding'!J27</f>
        <v>29 CFR 1910.215(a)(4)</v>
      </c>
      <c r="K170">
        <f>IF('Machine Guarding'!E27="Very High",5,IF('Machine Guarding'!E27="High",4,IF('Machine Guarding'!E27="Moderate",3,IF('Machine Guarding'!E27="Low",2,IF('Machine Guarding'!E27="Observation",1,0)))))</f>
        <v>0</v>
      </c>
      <c r="L170">
        <f>'Machine Guarding'!K27</f>
        <v>0</v>
      </c>
    </row>
    <row r="171" spans="1:12" ht="15" customHeight="1" x14ac:dyDescent="0.45">
      <c r="A171" t="s">
        <v>169</v>
      </c>
      <c r="B171" t="str">
        <f>'Machine Guarding'!A28</f>
        <v>MG-9</v>
      </c>
      <c r="C171" t="str">
        <f>'Machine Guarding'!B28</f>
        <v>Abrasive Wheel Machinery</v>
      </c>
      <c r="D171" t="str">
        <f>'Machine Guarding'!C28</f>
        <v>All abrasive wheels must be closely inspected and ring-tested ('sounded') immediately before mounting to detect cracks. A cracked wheel has a dull thud rather than a clear metallic ring when tapped. Cracked wheels must not be used.</v>
      </c>
      <c r="E171" t="str">
        <f>'Machine Guarding'!E28</f>
        <v>Select rating</v>
      </c>
      <c r="F171">
        <f>'Machine Guarding'!F28</f>
        <v>0</v>
      </c>
      <c r="G171">
        <f>'Machine Guarding'!G28</f>
        <v>8</v>
      </c>
      <c r="H171">
        <f>'Machine Guarding'!H28</f>
        <v>0</v>
      </c>
      <c r="I171">
        <f>'Machine Guarding'!I28</f>
        <v>0</v>
      </c>
      <c r="J171" t="str">
        <f>'Machine Guarding'!J28</f>
        <v>29 CFR 1910.215(d)(1)</v>
      </c>
      <c r="K171">
        <f>IF('Machine Guarding'!E28="Very High",5,IF('Machine Guarding'!E28="High",4,IF('Machine Guarding'!E28="Moderate",3,IF('Machine Guarding'!E28="Low",2,IF('Machine Guarding'!E28="Observation",1,0)))))</f>
        <v>0</v>
      </c>
      <c r="L171">
        <f>'Machine Guarding'!K28</f>
        <v>0</v>
      </c>
    </row>
    <row r="172" spans="1:12" ht="15" customHeight="1" x14ac:dyDescent="0.45">
      <c r="A172" t="s">
        <v>169</v>
      </c>
      <c r="B172" t="str">
        <f>'Machine Guarding'!A29</f>
        <v>MG-10</v>
      </c>
      <c r="C172" t="str">
        <f>'Machine Guarding'!B29</f>
        <v>Abrasive Wheel Machinery</v>
      </c>
      <c r="D172" t="str">
        <f>'Machine Guarding'!C29</f>
        <v>Grinding wheels must fit freely on the spindle and remain free under all grinding conditions. The spindle speed of the machine must not exceed the maximum operating speed (RPM) marked on the wheel. Flanges must be the correct size for the wheel and must be maintained in good condition.</v>
      </c>
      <c r="E172" t="str">
        <f>'Machine Guarding'!E29</f>
        <v>Select rating</v>
      </c>
      <c r="F172">
        <f>'Machine Guarding'!F29</f>
        <v>0</v>
      </c>
      <c r="G172">
        <f>'Machine Guarding'!G29</f>
        <v>6</v>
      </c>
      <c r="H172">
        <f>'Machine Guarding'!H29</f>
        <v>0</v>
      </c>
      <c r="I172">
        <f>'Machine Guarding'!I29</f>
        <v>0</v>
      </c>
      <c r="J172" t="str">
        <f>'Machine Guarding'!J29</f>
        <v>29 CFR 1910.215(c)(1)-(c)(9),(d)(3)-(d)(4)</v>
      </c>
      <c r="K172">
        <f>IF('Machine Guarding'!E29="Very High",5,IF('Machine Guarding'!E29="High",4,IF('Machine Guarding'!E29="Moderate",3,IF('Machine Guarding'!E29="Low",2,IF('Machine Guarding'!E29="Observation",1,0)))))</f>
        <v>0</v>
      </c>
      <c r="L172">
        <f>'Machine Guarding'!K29</f>
        <v>0</v>
      </c>
    </row>
    <row r="173" spans="1:12" ht="15" customHeight="1" x14ac:dyDescent="0.45">
      <c r="A173" t="s">
        <v>169</v>
      </c>
      <c r="B173" t="str">
        <f>'Machine Guarding'!A31</f>
        <v>MG-11</v>
      </c>
      <c r="C173" t="str">
        <f>'Machine Guarding'!B31</f>
        <v>Mechanical Power Presses</v>
      </c>
      <c r="D173" t="str">
        <f>'Machine Guarding'!C31</f>
        <v>The facility must provide and ensure that point-of-operation guards or devices protect operators of mechanical power presses from injury. The guard or device must prevent the operator from placing hands in the point-of-operation danger zone during the press operating cycle.</v>
      </c>
      <c r="E173" t="str">
        <f>'Machine Guarding'!E31</f>
        <v>Select rating</v>
      </c>
      <c r="F173">
        <f>'Machine Guarding'!F31</f>
        <v>0</v>
      </c>
      <c r="G173">
        <f>'Machine Guarding'!G31</f>
        <v>10</v>
      </c>
      <c r="H173">
        <f>'Machine Guarding'!H31</f>
        <v>0</v>
      </c>
      <c r="I173">
        <f>'Machine Guarding'!I31</f>
        <v>0</v>
      </c>
      <c r="J173" t="str">
        <f>'Machine Guarding'!J31</f>
        <v>29 CFR 1910.217(c)(1)-(c)(6)</v>
      </c>
      <c r="K173">
        <f>IF('Machine Guarding'!E31="Very High",5,IF('Machine Guarding'!E31="High",4,IF('Machine Guarding'!E31="Moderate",3,IF('Machine Guarding'!E31="Low",2,IF('Machine Guarding'!E31="Observation",1,0)))))</f>
        <v>0</v>
      </c>
      <c r="L173">
        <f>'Machine Guarding'!K31</f>
        <v>0</v>
      </c>
    </row>
    <row r="174" spans="1:12" ht="15" customHeight="1" x14ac:dyDescent="0.45">
      <c r="A174" t="s">
        <v>169</v>
      </c>
      <c r="B174" t="str">
        <f>'Machine Guarding'!A32</f>
        <v>MG-12</v>
      </c>
      <c r="C174" t="str">
        <f>'Machine Guarding'!B32</f>
        <v>Mechanical Power Presses</v>
      </c>
      <c r="D174" t="str">
        <f>'Machine Guarding'!C32</f>
        <v>Mechanical power presses must have adequate machine safeguards on all controls. Foot pedals must be guarded to prevent accidental operation. Two-hand trip mechanisms and two-hand controls must require concurrent activation and must prevent one-hand bypassing.</v>
      </c>
      <c r="E174" t="str">
        <f>'Machine Guarding'!E32</f>
        <v>Select rating</v>
      </c>
      <c r="F174">
        <f>'Machine Guarding'!F32</f>
        <v>0</v>
      </c>
      <c r="G174">
        <f>'Machine Guarding'!G32</f>
        <v>8</v>
      </c>
      <c r="H174">
        <f>'Machine Guarding'!H32</f>
        <v>0</v>
      </c>
      <c r="I174">
        <f>'Machine Guarding'!I32</f>
        <v>0</v>
      </c>
      <c r="J174" t="str">
        <f>'Machine Guarding'!J32</f>
        <v>29 CFR 1910.217(b)(6),(b)(7)-(b)(9)</v>
      </c>
      <c r="K174">
        <f>IF('Machine Guarding'!E32="Very High",5,IF('Machine Guarding'!E32="High",4,IF('Machine Guarding'!E32="Moderate",3,IF('Machine Guarding'!E32="Low",2,IF('Machine Guarding'!E32="Observation",1,0)))))</f>
        <v>0</v>
      </c>
      <c r="L174">
        <f>'Machine Guarding'!K32</f>
        <v>0</v>
      </c>
    </row>
    <row r="175" spans="1:12" ht="15" customHeight="1" x14ac:dyDescent="0.45">
      <c r="A175" t="s">
        <v>170</v>
      </c>
      <c r="B175" t="str">
        <f>'Electrical Safety'!A19</f>
        <v>EL-1</v>
      </c>
      <c r="C175" t="str">
        <f>'Electrical Safety'!B19</f>
        <v>General Electrical Requirements</v>
      </c>
      <c r="D175" t="str">
        <f>'Electrical Safety'!C19</f>
        <v>All electrical equipment must be approved (listed, labeled, or certified by a nationally recognized testing laboratory — NRTL — such as UL, CSA, or FM). Equipment must be installed and used in accordance with any instructions included in the listing or labeling.</v>
      </c>
      <c r="E175" t="str">
        <f>'Electrical Safety'!E19</f>
        <v>Select rating</v>
      </c>
      <c r="F175">
        <f>'Electrical Safety'!F19</f>
        <v>0</v>
      </c>
      <c r="G175">
        <f>'Electrical Safety'!G19</f>
        <v>6</v>
      </c>
      <c r="H175">
        <f>'Electrical Safety'!H19</f>
        <v>0</v>
      </c>
      <c r="I175">
        <f>'Electrical Safety'!I19</f>
        <v>0</v>
      </c>
      <c r="J175" t="str">
        <f>'Electrical Safety'!J19</f>
        <v>29 CFR 1910.303(a)-(b)</v>
      </c>
      <c r="K175">
        <f>IF('Electrical Safety'!E19="Very High",5,IF('Electrical Safety'!E19="High",4,IF('Electrical Safety'!E19="Moderate",3,IF('Electrical Safety'!E19="Low",2,IF('Electrical Safety'!E19="Observation",1,0)))))</f>
        <v>0</v>
      </c>
      <c r="L175">
        <f>'Electrical Safety'!K19</f>
        <v>0</v>
      </c>
    </row>
    <row r="176" spans="1:12" ht="15" customHeight="1" x14ac:dyDescent="0.45">
      <c r="A176" t="s">
        <v>170</v>
      </c>
      <c r="B176" t="str">
        <f>'Electrical Safety'!A20</f>
        <v>EL-2</v>
      </c>
      <c r="C176" t="str">
        <f>'Electrical Safety'!B20</f>
        <v>General Electrical Requirements</v>
      </c>
      <c r="D176" t="str">
        <f>'Electrical Safety'!C20</f>
        <v>Adequate working space must be maintained around all electrical equipment: minimum 3 feet deep for equipment up to 600V; additional space for higher voltages. Working space must not be used for storage. Equipment must be accessible for maintenance and operation without removing obstructions.</v>
      </c>
      <c r="E176" t="str">
        <f>'Electrical Safety'!E20</f>
        <v>Select rating</v>
      </c>
      <c r="F176">
        <f>'Electrical Safety'!F20</f>
        <v>0</v>
      </c>
      <c r="G176">
        <f>'Electrical Safety'!G20</f>
        <v>10</v>
      </c>
      <c r="H176">
        <f>'Electrical Safety'!H20</f>
        <v>0</v>
      </c>
      <c r="I176">
        <f>'Electrical Safety'!I20</f>
        <v>0</v>
      </c>
      <c r="J176" t="str">
        <f>'Electrical Safety'!J20</f>
        <v>29 CFR 1910.303(g)(1)-(g)(2)</v>
      </c>
      <c r="K176">
        <f>IF('Electrical Safety'!E20="Very High",5,IF('Electrical Safety'!E20="High",4,IF('Electrical Safety'!E20="Moderate",3,IF('Electrical Safety'!E20="Low",2,IF('Electrical Safety'!E20="Observation",1,0)))))</f>
        <v>0</v>
      </c>
      <c r="L176">
        <f>'Electrical Safety'!K20</f>
        <v>0</v>
      </c>
    </row>
    <row r="177" spans="1:12" ht="15" customHeight="1" x14ac:dyDescent="0.45">
      <c r="A177" t="s">
        <v>170</v>
      </c>
      <c r="B177" t="str">
        <f>'Electrical Safety'!A21</f>
        <v>EL-3</v>
      </c>
      <c r="C177" t="str">
        <f>'Electrical Safety'!B21</f>
        <v>General Electrical Requirements</v>
      </c>
      <c r="D177" t="str">
        <f>'Electrical Safety'!C21</f>
        <v>Live parts operating at 50 volts or more must be guarded against accidental contact. Guarding methods include: location in a room or vault accessible only to qualified persons; permanent substantial partitions or screens; location on a suitable balcony or gallery; elevation of 8 feet or more above the floor.</v>
      </c>
      <c r="E177" t="str">
        <f>'Electrical Safety'!E21</f>
        <v>Select rating</v>
      </c>
      <c r="F177">
        <f>'Electrical Safety'!F21</f>
        <v>0</v>
      </c>
      <c r="G177">
        <f>'Electrical Safety'!G21</f>
        <v>10</v>
      </c>
      <c r="H177">
        <f>'Electrical Safety'!H21</f>
        <v>0</v>
      </c>
      <c r="I177">
        <f>'Electrical Safety'!I21</f>
        <v>0</v>
      </c>
      <c r="J177" t="str">
        <f>'Electrical Safety'!J21</f>
        <v>29 CFR 1910.303(h)(1)-(h)(3)</v>
      </c>
      <c r="K177">
        <f>IF('Electrical Safety'!E21="Very High",5,IF('Electrical Safety'!E21="High",4,IF('Electrical Safety'!E21="Moderate",3,IF('Electrical Safety'!E21="Low",2,IF('Electrical Safety'!E21="Observation",1,0)))))</f>
        <v>0</v>
      </c>
      <c r="L177">
        <f>'Electrical Safety'!K21</f>
        <v>0</v>
      </c>
    </row>
    <row r="178" spans="1:12" ht="15" customHeight="1" x14ac:dyDescent="0.45">
      <c r="A178" t="s">
        <v>170</v>
      </c>
      <c r="B178" t="str">
        <f>'Electrical Safety'!A22</f>
        <v>EL-4</v>
      </c>
      <c r="C178" t="str">
        <f>'Electrical Safety'!B22</f>
        <v>General Electrical Requirements</v>
      </c>
      <c r="D178" t="str">
        <f>'Electrical Safety'!C22</f>
        <v>Breaker panels and electrical enclosures must be labeled to indicate the purpose or equipment controlled by each circuit. Labels must be legible, durable, and correct.</v>
      </c>
      <c r="E178" t="str">
        <f>'Electrical Safety'!E22</f>
        <v>Select rating</v>
      </c>
      <c r="F178">
        <f>'Electrical Safety'!F22</f>
        <v>0</v>
      </c>
      <c r="G178">
        <f>'Electrical Safety'!G22</f>
        <v>8</v>
      </c>
      <c r="H178">
        <f>'Electrical Safety'!H22</f>
        <v>0</v>
      </c>
      <c r="I178">
        <f>'Electrical Safety'!I22</f>
        <v>0</v>
      </c>
      <c r="J178" t="str">
        <f>'Electrical Safety'!J22</f>
        <v>29 CFR 1910.303(e)</v>
      </c>
      <c r="K178">
        <f>IF('Electrical Safety'!E22="Very High",5,IF('Electrical Safety'!E22="High",4,IF('Electrical Safety'!E22="Moderate",3,IF('Electrical Safety'!E22="Low",2,IF('Electrical Safety'!E22="Observation",1,0)))))</f>
        <v>0</v>
      </c>
      <c r="L178">
        <f>'Electrical Safety'!K22</f>
        <v>0</v>
      </c>
    </row>
    <row r="179" spans="1:12" ht="15" customHeight="1" x14ac:dyDescent="0.45">
      <c r="A179" t="s">
        <v>170</v>
      </c>
      <c r="B179" t="str">
        <f>'Electrical Safety'!A24</f>
        <v>EL-5</v>
      </c>
      <c r="C179" t="str">
        <f>'Electrical Safety'!B24</f>
        <v>Ground Fault Protection &amp; Grounding</v>
      </c>
      <c r="D179" t="str">
        <f>'Electrical Safety'!C24</f>
        <v>Ground fault circuit interrupters (GFCIs) must be used for personnel protection in specific locations: (1) all 120V single-phase 15A and 20A receptacle outlets in wet locations, construction areas, and outdoor receptacles; (2) temporary wiring on construction sites; (3) receptacles in bathrooms, kitchens, near sinks, and other wet areas.</v>
      </c>
      <c r="E179" t="str">
        <f>'Electrical Safety'!E24</f>
        <v>Select rating</v>
      </c>
      <c r="F179">
        <f>'Electrical Safety'!F24</f>
        <v>0</v>
      </c>
      <c r="G179">
        <f>'Electrical Safety'!G24</f>
        <v>10</v>
      </c>
      <c r="H179">
        <f>'Electrical Safety'!H24</f>
        <v>0</v>
      </c>
      <c r="I179">
        <f>'Electrical Safety'!I24</f>
        <v>0</v>
      </c>
      <c r="J179" t="str">
        <f>'Electrical Safety'!J24</f>
        <v>29 CFR 1910.304(b)(3)(i)-(b)(3)(ii)</v>
      </c>
      <c r="K179">
        <f>IF('Electrical Safety'!E24="Very High",5,IF('Electrical Safety'!E24="High",4,IF('Electrical Safety'!E24="Moderate",3,IF('Electrical Safety'!E24="Low",2,IF('Electrical Safety'!E24="Observation",1,0)))))</f>
        <v>0</v>
      </c>
      <c r="L179">
        <f>'Electrical Safety'!K24</f>
        <v>0</v>
      </c>
    </row>
    <row r="180" spans="1:12" ht="15" customHeight="1" x14ac:dyDescent="0.45">
      <c r="A180" t="s">
        <v>170</v>
      </c>
      <c r="B180" t="str">
        <f>'Electrical Safety'!A25</f>
        <v>EL-6</v>
      </c>
      <c r="C180" t="str">
        <f>'Electrical Safety'!B25</f>
        <v>Ground Fault Protection &amp; Grounding</v>
      </c>
      <c r="D180" t="str">
        <f>'Electrical Safety'!C25</f>
        <v>All electrical equipment must be properly grounded. Cord and plug connected equipment must be grounded through a grounding prong in the attachment plug. Fixed equipment must be grounded through the equipment grounding conductor in the supply circuit. Metal raceways, cable trays, and enclosures must be continuously and effectively grounded.</v>
      </c>
      <c r="E180" t="str">
        <f>'Electrical Safety'!E25</f>
        <v>Select rating</v>
      </c>
      <c r="F180">
        <f>'Electrical Safety'!F25</f>
        <v>0</v>
      </c>
      <c r="G180">
        <f>'Electrical Safety'!G25</f>
        <v>8</v>
      </c>
      <c r="H180">
        <f>'Electrical Safety'!H25</f>
        <v>0</v>
      </c>
      <c r="I180">
        <f>'Electrical Safety'!I25</f>
        <v>0</v>
      </c>
      <c r="J180" t="str">
        <f>'Electrical Safety'!J25</f>
        <v>29 CFR 1910.304(g)(1)-(g)(7)</v>
      </c>
      <c r="K180">
        <f>IF('Electrical Safety'!E25="Very High",5,IF('Electrical Safety'!E25="High",4,IF('Electrical Safety'!E25="Moderate",3,IF('Electrical Safety'!E25="Low",2,IF('Electrical Safety'!E25="Observation",1,0)))))</f>
        <v>0</v>
      </c>
      <c r="L180">
        <f>'Electrical Safety'!K25</f>
        <v>0</v>
      </c>
    </row>
    <row r="181" spans="1:12" ht="15" customHeight="1" x14ac:dyDescent="0.45">
      <c r="A181" t="s">
        <v>170</v>
      </c>
      <c r="B181" t="str">
        <f>'Electrical Safety'!A26</f>
        <v>EL-7</v>
      </c>
      <c r="C181" t="str">
        <f>'Electrical Safety'!B26</f>
        <v>Ground Fault Protection &amp; Grounding</v>
      </c>
      <c r="D181" t="str">
        <f>'Electrical Safety'!C26</f>
        <v>Flexible cords and cables must be used only in permitted applications. Flexible cords must NOT be used: as a substitute for fixed wiring; run through holes in walls, ceilings, or floors; run through doorways, windows, or similar openings; attached to building surfaces; concealed behind building walls, ceilings, or floors.</v>
      </c>
      <c r="E181" t="str">
        <f>'Electrical Safety'!E26</f>
        <v>Select rating</v>
      </c>
      <c r="F181">
        <f>'Electrical Safety'!F26</f>
        <v>0</v>
      </c>
      <c r="G181">
        <f>'Electrical Safety'!G26</f>
        <v>10</v>
      </c>
      <c r="H181">
        <f>'Electrical Safety'!H26</f>
        <v>0</v>
      </c>
      <c r="I181">
        <f>'Electrical Safety'!I26</f>
        <v>0</v>
      </c>
      <c r="J181" t="str">
        <f>'Electrical Safety'!J26</f>
        <v>29 CFR 1910.305(g)(1)(ii)-(g)(1)(iii),(g)(1)(v)</v>
      </c>
      <c r="K181">
        <f>IF('Electrical Safety'!E26="Very High",5,IF('Electrical Safety'!E26="High",4,IF('Electrical Safety'!E26="Moderate",3,IF('Electrical Safety'!E26="Low",2,IF('Electrical Safety'!E26="Observation",1,0)))))</f>
        <v>0</v>
      </c>
      <c r="L181">
        <f>'Electrical Safety'!K26</f>
        <v>0</v>
      </c>
    </row>
    <row r="182" spans="1:12" ht="15" customHeight="1" x14ac:dyDescent="0.45">
      <c r="A182" t="s">
        <v>170</v>
      </c>
      <c r="B182" t="str">
        <f>'Electrical Safety'!A27</f>
        <v>EL-8</v>
      </c>
      <c r="C182" t="str">
        <f>'Electrical Safety'!B27</f>
        <v>Ground Fault Protection &amp; Grounding</v>
      </c>
      <c r="D182" t="str">
        <f>'Electrical Safety'!C27</f>
        <v>Extension cords in use must be maintained in safe condition. Damaged cords must be immediately removed from service. Cords must be rated for the load they serve and must not be overloaded.</v>
      </c>
      <c r="E182" t="str">
        <f>'Electrical Safety'!E27</f>
        <v>Select rating</v>
      </c>
      <c r="F182">
        <f>'Electrical Safety'!F27</f>
        <v>0</v>
      </c>
      <c r="G182">
        <f>'Electrical Safety'!G27</f>
        <v>8</v>
      </c>
      <c r="H182">
        <f>'Electrical Safety'!H27</f>
        <v>0</v>
      </c>
      <c r="I182">
        <f>'Electrical Safety'!I27</f>
        <v>0</v>
      </c>
      <c r="J182" t="str">
        <f>'Electrical Safety'!J27</f>
        <v>29 CFR 1910.305(g)(2)(iii)-(g)(2)(iv)</v>
      </c>
      <c r="K182">
        <f>IF('Electrical Safety'!E27="Very High",5,IF('Electrical Safety'!E27="High",4,IF('Electrical Safety'!E27="Moderate",3,IF('Electrical Safety'!E27="Low",2,IF('Electrical Safety'!E27="Observation",1,0)))))</f>
        <v>0</v>
      </c>
      <c r="L182">
        <f>'Electrical Safety'!K27</f>
        <v>0</v>
      </c>
    </row>
    <row r="183" spans="1:12" ht="15" customHeight="1" x14ac:dyDescent="0.45">
      <c r="A183" t="s">
        <v>170</v>
      </c>
      <c r="B183" t="str">
        <f>'Electrical Safety'!A29</f>
        <v>EL-9</v>
      </c>
      <c r="C183" t="str">
        <f>'Electrical Safety'!B29</f>
        <v>Wiring Methods &amp; Panel Requirements</v>
      </c>
      <c r="D183" t="str">
        <f>'Electrical Safety'!C29</f>
        <v>All junction boxes, outlet boxes, device boxes, and fittings must have approved covers. Open knockouts in boxes must be closed with appropriate fittings. No open spaces in electrical enclosures are permitted.</v>
      </c>
      <c r="E183" t="str">
        <f>'Electrical Safety'!E29</f>
        <v>Select rating</v>
      </c>
      <c r="F183">
        <f>'Electrical Safety'!F29</f>
        <v>0</v>
      </c>
      <c r="G183">
        <f>'Electrical Safety'!G29</f>
        <v>8</v>
      </c>
      <c r="H183">
        <f>'Electrical Safety'!H29</f>
        <v>0</v>
      </c>
      <c r="I183">
        <f>'Electrical Safety'!I29</f>
        <v>0</v>
      </c>
      <c r="J183" t="str">
        <f>'Electrical Safety'!J29</f>
        <v>29 CFR 1910.305(b)(1)-(b)(2)</v>
      </c>
      <c r="K183">
        <f>IF('Electrical Safety'!E29="Very High",5,IF('Electrical Safety'!E29="High",4,IF('Electrical Safety'!E29="Moderate",3,IF('Electrical Safety'!E29="Low",2,IF('Electrical Safety'!E29="Observation",1,0)))))</f>
        <v>0</v>
      </c>
      <c r="L183">
        <f>'Electrical Safety'!K29</f>
        <v>0</v>
      </c>
    </row>
    <row r="184" spans="1:12" ht="15" customHeight="1" x14ac:dyDescent="0.45">
      <c r="A184" t="s">
        <v>170</v>
      </c>
      <c r="B184" t="str">
        <f>'Electrical Safety'!A30</f>
        <v>EL-10</v>
      </c>
      <c r="C184" t="str">
        <f>'Electrical Safety'!B30</f>
        <v>Wiring Methods &amp; Panel Requirements</v>
      </c>
      <c r="D184" t="str">
        <f>'Electrical Safety'!C30</f>
        <v>Switchboards and panelboards must be located in clean, dry locations. The area must be free of easily ignitible material. Working space in front of panels must be kept clear. Panelboards must have a secured door or cover over the live parts.</v>
      </c>
      <c r="E184" t="str">
        <f>'Electrical Safety'!E30</f>
        <v>Select rating</v>
      </c>
      <c r="F184">
        <f>'Electrical Safety'!F30</f>
        <v>0</v>
      </c>
      <c r="G184">
        <f>'Electrical Safety'!G30</f>
        <v>6</v>
      </c>
      <c r="H184">
        <f>'Electrical Safety'!H30</f>
        <v>0</v>
      </c>
      <c r="I184">
        <f>'Electrical Safety'!I30</f>
        <v>0</v>
      </c>
      <c r="J184" t="str">
        <f>'Electrical Safety'!J30</f>
        <v>29 CFR 1910.305(h)(1)-(h)(2)</v>
      </c>
      <c r="K184">
        <f>IF('Electrical Safety'!E30="Very High",5,IF('Electrical Safety'!E30="High",4,IF('Electrical Safety'!E30="Moderate",3,IF('Electrical Safety'!E30="Low",2,IF('Electrical Safety'!E30="Observation",1,0)))))</f>
        <v>0</v>
      </c>
      <c r="L184">
        <f>'Electrical Safety'!K30</f>
        <v>0</v>
      </c>
    </row>
    <row r="185" spans="1:12" ht="15" customHeight="1" x14ac:dyDescent="0.45">
      <c r="A185" t="s">
        <v>170</v>
      </c>
      <c r="B185" t="str">
        <f>'Electrical Safety'!A31</f>
        <v>EL-11</v>
      </c>
      <c r="C185" t="str">
        <f>'Electrical Safety'!B31</f>
        <v>Wiring Methods &amp; Panel Requirements</v>
      </c>
      <c r="D185" t="str">
        <f>'Electrical Safety'!C31</f>
        <v>Overcurrent protection (circuit breakers and fuses) must be correctly sized for the conductor they protect. Breakers and fuses must not be modified, bypassed, or oversized to prevent tripping. Tandem breakers (two-circuit breakers in a single slot) must only be used in panels specifically designed to accept them.</v>
      </c>
      <c r="E185" t="str">
        <f>'Electrical Safety'!E31</f>
        <v>Select rating</v>
      </c>
      <c r="F185">
        <f>'Electrical Safety'!F31</f>
        <v>0</v>
      </c>
      <c r="G185">
        <f>'Electrical Safety'!G31</f>
        <v>8</v>
      </c>
      <c r="H185">
        <f>'Electrical Safety'!H31</f>
        <v>0</v>
      </c>
      <c r="I185">
        <f>'Electrical Safety'!I31</f>
        <v>0</v>
      </c>
      <c r="J185" t="str">
        <f>'Electrical Safety'!J31</f>
        <v>29 CFR 1910.304(e)(1)-(e)(3)</v>
      </c>
      <c r="K185">
        <f>IF('Electrical Safety'!E31="Very High",5,IF('Electrical Safety'!E31="High",4,IF('Electrical Safety'!E31="Moderate",3,IF('Electrical Safety'!E31="Low",2,IF('Electrical Safety'!E31="Observation",1,0)))))</f>
        <v>0</v>
      </c>
      <c r="L185">
        <f>'Electrical Safety'!K31</f>
        <v>0</v>
      </c>
    </row>
    <row r="186" spans="1:12" ht="15" customHeight="1" x14ac:dyDescent="0.45">
      <c r="A186" t="s">
        <v>170</v>
      </c>
      <c r="B186" t="str">
        <f>'Electrical Safety'!A33</f>
        <v>EL-12</v>
      </c>
      <c r="C186" t="str">
        <f>'Electrical Safety'!B33</f>
        <v>Hazardous Locations — Combustible Dust</v>
      </c>
      <c r="D186" t="str">
        <f>'Electrical Safety'!C33</f>
        <v>Electrical equipment installed in areas where ignitable concentrations of combustible dust may be present must be specifically rated and approved for that hazard classification. Gypsum dust (calcined hemihydrate) may be a Class II combustible dust depending on particle size and moisture content. Any area with significant gypsum dust accumulation requires a hazardous location assessment.</v>
      </c>
      <c r="E186" t="str">
        <f>'Electrical Safety'!E33</f>
        <v>Select rating</v>
      </c>
      <c r="F186">
        <f>'Electrical Safety'!F33</f>
        <v>0</v>
      </c>
      <c r="G186">
        <f>'Electrical Safety'!G33</f>
        <v>10</v>
      </c>
      <c r="H186">
        <f>'Electrical Safety'!H33</f>
        <v>0</v>
      </c>
      <c r="I186">
        <f>'Electrical Safety'!I33</f>
        <v>0</v>
      </c>
      <c r="J186" t="str">
        <f>'Electrical Safety'!J33</f>
        <v>29 CFR 1910.307(a)-(b)</v>
      </c>
      <c r="K186">
        <f>IF('Electrical Safety'!E33="Very High",5,IF('Electrical Safety'!E33="High",4,IF('Electrical Safety'!E33="Moderate",3,IF('Electrical Safety'!E33="Low",2,IF('Electrical Safety'!E33="Observation",1,0)))))</f>
        <v>0</v>
      </c>
      <c r="L186">
        <f>'Electrical Safety'!K33</f>
        <v>0</v>
      </c>
    </row>
    <row r="187" spans="1:12" ht="15" customHeight="1" x14ac:dyDescent="0.45">
      <c r="A187" t="s">
        <v>170</v>
      </c>
      <c r="B187" t="str">
        <f>'Electrical Safety'!A34</f>
        <v>EL-13</v>
      </c>
      <c r="C187" t="str">
        <f>'Electrical Safety'!B34</f>
        <v>Hazardous Locations — Combustible Dust</v>
      </c>
      <c r="D187" t="str">
        <f>'Electrical Safety'!C34</f>
        <v>In classified hazardous locations, conduit seals must be installed at conduit entries into enclosures containing ignition-capable equipment. Seals prevent the passage of gases, vapors, or flames from one area to another through the conduit system.</v>
      </c>
      <c r="E187" t="str">
        <f>'Electrical Safety'!E34</f>
        <v>Select rating</v>
      </c>
      <c r="F187">
        <f>'Electrical Safety'!F34</f>
        <v>0</v>
      </c>
      <c r="G187">
        <f>'Electrical Safety'!G34</f>
        <v>8</v>
      </c>
      <c r="H187">
        <f>'Electrical Safety'!H34</f>
        <v>0</v>
      </c>
      <c r="I187">
        <f>'Electrical Safety'!I34</f>
        <v>0</v>
      </c>
      <c r="J187" t="str">
        <f>'Electrical Safety'!J34</f>
        <v>29 CFR 1910.307(d)</v>
      </c>
      <c r="K187">
        <f>IF('Electrical Safety'!E34="Very High",5,IF('Electrical Safety'!E34="High",4,IF('Electrical Safety'!E34="Moderate",3,IF('Electrical Safety'!E34="Low",2,IF('Electrical Safety'!E34="Observation",1,0)))))</f>
        <v>0</v>
      </c>
      <c r="L187">
        <f>'Electrical Safety'!K34</f>
        <v>0</v>
      </c>
    </row>
    <row r="188" spans="1:12" ht="15" customHeight="1" x14ac:dyDescent="0.45">
      <c r="A188" t="s">
        <v>170</v>
      </c>
      <c r="B188" t="str">
        <f>'Electrical Safety'!A36</f>
        <v>EL-14</v>
      </c>
      <c r="C188" t="str">
        <f>'Electrical Safety'!B36</f>
        <v>Electrical Safety Work Practices</v>
      </c>
      <c r="D188" t="str">
        <f>'Electrical Safety'!C36</f>
        <v>Only qualified persons (those trained and knowledgeable in the construction and operation of electrical equipment and the hazards involved) may work on energized electrical parts of 50 volts or more. Unqualified persons must be kept at least 10 feet away from exposed energized parts of overhead lines.</v>
      </c>
      <c r="E188" t="str">
        <f>'Electrical Safety'!E36</f>
        <v>Select rating</v>
      </c>
      <c r="F188">
        <f>'Electrical Safety'!F36</f>
        <v>0</v>
      </c>
      <c r="G188">
        <f>'Electrical Safety'!G36</f>
        <v>8</v>
      </c>
      <c r="H188">
        <f>'Electrical Safety'!H36</f>
        <v>0</v>
      </c>
      <c r="I188">
        <f>'Electrical Safety'!I36</f>
        <v>0</v>
      </c>
      <c r="J188" t="str">
        <f>'Electrical Safety'!J36</f>
        <v>29 CFR 1910.333(a),(c)(3)(i)-(c)(3)(ii)</v>
      </c>
      <c r="K188">
        <f>IF('Electrical Safety'!E36="Very High",5,IF('Electrical Safety'!E36="High",4,IF('Electrical Safety'!E36="Moderate",3,IF('Electrical Safety'!E36="Low",2,IF('Electrical Safety'!E36="Observation",1,0)))))</f>
        <v>0</v>
      </c>
      <c r="L188">
        <f>'Electrical Safety'!K36</f>
        <v>0</v>
      </c>
    </row>
    <row r="189" spans="1:12" ht="15" customHeight="1" x14ac:dyDescent="0.45">
      <c r="A189" t="s">
        <v>170</v>
      </c>
      <c r="B189" t="str">
        <f>'Electrical Safety'!A37</f>
        <v>EL-15</v>
      </c>
      <c r="C189" t="str">
        <f>'Electrical Safety'!B37</f>
        <v>Electrical Safety Work Practices</v>
      </c>
      <c r="D189" t="str">
        <f>'Electrical Safety'!C37</f>
        <v>Electrical equipment must be de-energized before employees work on or near exposed live parts, unless de-energizing creates additional or increased hazards or is infeasible due to equipment design or operational continuity. When energized electrical work is performed, it must be done under an Energized Electrical Work Permit (EEWP) unless the work is classified as routine by a qualified person.</v>
      </c>
      <c r="E189" t="str">
        <f>'Electrical Safety'!E37</f>
        <v>Select rating</v>
      </c>
      <c r="F189">
        <f>'Electrical Safety'!F37</f>
        <v>0</v>
      </c>
      <c r="G189">
        <f>'Electrical Safety'!G37</f>
        <v>8</v>
      </c>
      <c r="H189">
        <f>'Electrical Safety'!H37</f>
        <v>0</v>
      </c>
      <c r="I189">
        <f>'Electrical Safety'!I37</f>
        <v>0</v>
      </c>
      <c r="J189" t="str">
        <f>'Electrical Safety'!J37</f>
        <v>29 CFR 1910.333(a)(1)-(a)(2); NFPA 70E</v>
      </c>
      <c r="K189">
        <f>IF('Electrical Safety'!E37="Very High",5,IF('Electrical Safety'!E37="High",4,IF('Electrical Safety'!E37="Moderate",3,IF('Electrical Safety'!E37="Low",2,IF('Electrical Safety'!E37="Observation",1,0)))))</f>
        <v>0</v>
      </c>
      <c r="L189">
        <f>'Electrical Safety'!K37</f>
        <v>0</v>
      </c>
    </row>
    <row r="190" spans="1:12" ht="15" customHeight="1" x14ac:dyDescent="0.45">
      <c r="A190" t="s">
        <v>170</v>
      </c>
      <c r="B190" t="str">
        <f>'Electrical Safety'!A38</f>
        <v>EL-16</v>
      </c>
      <c r="C190" t="str">
        <f>'Electrical Safety'!B38</f>
        <v>Electrical Safety Work Practices</v>
      </c>
      <c r="D190" t="str">
        <f>'Electrical Safety'!C38</f>
        <v>Personal protective equipment (PPE) for electrical work must include rubber insulating gloves rated for the voltage class, arc flash protection (arc-rated clothing, face shield) when arc flash hazard exists, and insulated tools.</v>
      </c>
      <c r="E190" t="str">
        <f>'Electrical Safety'!E38</f>
        <v>Select rating</v>
      </c>
      <c r="F190">
        <f>'Electrical Safety'!F38</f>
        <v>0</v>
      </c>
      <c r="G190">
        <f>'Electrical Safety'!G38</f>
        <v>8</v>
      </c>
      <c r="H190">
        <f>'Electrical Safety'!H38</f>
        <v>0</v>
      </c>
      <c r="I190">
        <f>'Electrical Safety'!I38</f>
        <v>0</v>
      </c>
      <c r="J190" t="str">
        <f>'Electrical Safety'!J38</f>
        <v>29 CFR 1910.335(a)(1)-(a)(2); NFPA 70E</v>
      </c>
      <c r="K190">
        <f>IF('Electrical Safety'!E38="Very High",5,IF('Electrical Safety'!E38="High",4,IF('Electrical Safety'!E38="Moderate",3,IF('Electrical Safety'!E38="Low",2,IF('Electrical Safety'!E38="Observation",1,0)))))</f>
        <v>0</v>
      </c>
      <c r="L190">
        <f>'Electrical Safety'!K38</f>
        <v>0</v>
      </c>
    </row>
    <row r="191" spans="1:12" ht="15" customHeight="1" x14ac:dyDescent="0.45">
      <c r="A191" t="s">
        <v>171</v>
      </c>
      <c r="B191" t="str">
        <f>'Hand &amp; Power Tools'!A19</f>
        <v>PT-1</v>
      </c>
      <c r="C191" t="str">
        <f>'Hand &amp; Power Tools'!B19</f>
        <v>General Tool Requirements</v>
      </c>
      <c r="D191" t="str">
        <f>'Hand &amp; Power Tools'!C19</f>
        <v>Hand and portable powered tools and equipment must be maintained in a safe condition. Tools must be inspected before use and removed from service if defective.</v>
      </c>
      <c r="E191" t="str">
        <f>'Hand &amp; Power Tools'!E19</f>
        <v>Select rating</v>
      </c>
      <c r="F191">
        <f>'Hand &amp; Power Tools'!F19</f>
        <v>0</v>
      </c>
      <c r="G191">
        <f>'Hand &amp; Power Tools'!G19</f>
        <v>8</v>
      </c>
      <c r="H191">
        <f>'Hand &amp; Power Tools'!H19</f>
        <v>0</v>
      </c>
      <c r="I191">
        <f>'Hand &amp; Power Tools'!I19</f>
        <v>0</v>
      </c>
      <c r="J191" t="str">
        <f>'Hand &amp; Power Tools'!J19</f>
        <v>29 CFR 1910.242(a)</v>
      </c>
      <c r="K191">
        <f>IF('Hand &amp; Power Tools'!E19="Very High",5,IF('Hand &amp; Power Tools'!E19="High",4,IF('Hand &amp; Power Tools'!E19="Moderate",3,IF('Hand &amp; Power Tools'!E19="Low",2,IF('Hand &amp; Power Tools'!E19="Observation",1,0)))))</f>
        <v>0</v>
      </c>
      <c r="L191">
        <f>'Hand &amp; Power Tools'!K19</f>
        <v>0</v>
      </c>
    </row>
    <row r="192" spans="1:12" ht="15" customHeight="1" x14ac:dyDescent="0.45">
      <c r="A192" t="s">
        <v>171</v>
      </c>
      <c r="B192" t="str">
        <f>'Hand &amp; Power Tools'!A20</f>
        <v>PT-2</v>
      </c>
      <c r="C192" t="str">
        <f>'Hand &amp; Power Tools'!B20</f>
        <v>General Tool Requirements</v>
      </c>
      <c r="D192" t="str">
        <f>'Hand &amp; Power Tools'!C20</f>
        <v>Compressed air used for cleaning purposes must be reduced to less than 30 psi when the nozzle or orifice is dead-ended (i.e., the nozzle could be blocked against a surface and pressure could build up). The nozzle must also have side openings to prevent dead-end pressure buildup. If compressed air is used for personal cleaning, effective chip guarding and PPE must be used.</v>
      </c>
      <c r="E192" t="str">
        <f>'Hand &amp; Power Tools'!E20</f>
        <v>Select rating</v>
      </c>
      <c r="F192">
        <f>'Hand &amp; Power Tools'!F20</f>
        <v>0</v>
      </c>
      <c r="G192">
        <f>'Hand &amp; Power Tools'!G20</f>
        <v>8</v>
      </c>
      <c r="H192">
        <f>'Hand &amp; Power Tools'!H20</f>
        <v>0</v>
      </c>
      <c r="I192">
        <f>'Hand &amp; Power Tools'!I20</f>
        <v>0</v>
      </c>
      <c r="J192" t="str">
        <f>'Hand &amp; Power Tools'!J20</f>
        <v>29 CFR 1910.242(b)</v>
      </c>
      <c r="K192">
        <f>IF('Hand &amp; Power Tools'!E20="Very High",5,IF('Hand &amp; Power Tools'!E20="High",4,IF('Hand &amp; Power Tools'!E20="Moderate",3,IF('Hand &amp; Power Tools'!E20="Low",2,IF('Hand &amp; Power Tools'!E20="Observation",1,0)))))</f>
        <v>0</v>
      </c>
      <c r="L192">
        <f>'Hand &amp; Power Tools'!K20</f>
        <v>0</v>
      </c>
    </row>
    <row r="193" spans="1:12" ht="15" customHeight="1" x14ac:dyDescent="0.45">
      <c r="A193" t="s">
        <v>171</v>
      </c>
      <c r="B193" t="str">
        <f>'Hand &amp; Power Tools'!A21</f>
        <v>PT-3</v>
      </c>
      <c r="C193" t="str">
        <f>'Hand &amp; Power Tools'!B21</f>
        <v>General Tool Requirements</v>
      </c>
      <c r="D193" t="str">
        <f>'Hand &amp; Power Tools'!C21</f>
        <v>Portable electrically-powered hand tools (drills, grinders, saws) must be grounded through a three-prong plug and grounding conductor, OR be double-insulated. Double-insulated tools must be distinctly marked and must not be used in wet environments.</v>
      </c>
      <c r="E193" t="str">
        <f>'Hand &amp; Power Tools'!E21</f>
        <v>Select rating</v>
      </c>
      <c r="F193">
        <f>'Hand &amp; Power Tools'!F21</f>
        <v>0</v>
      </c>
      <c r="G193">
        <f>'Hand &amp; Power Tools'!G21</f>
        <v>8</v>
      </c>
      <c r="H193">
        <f>'Hand &amp; Power Tools'!H21</f>
        <v>0</v>
      </c>
      <c r="I193">
        <f>'Hand &amp; Power Tools'!I21</f>
        <v>0</v>
      </c>
      <c r="J193" t="str">
        <f>'Hand &amp; Power Tools'!J21</f>
        <v>29 CFR 1910.243(a)(5)</v>
      </c>
      <c r="K193">
        <f>IF('Hand &amp; Power Tools'!E21="Very High",5,IF('Hand &amp; Power Tools'!E21="High",4,IF('Hand &amp; Power Tools'!E21="Moderate",3,IF('Hand &amp; Power Tools'!E21="Low",2,IF('Hand &amp; Power Tools'!E21="Observation",1,0)))))</f>
        <v>0</v>
      </c>
      <c r="L193">
        <f>'Hand &amp; Power Tools'!K21</f>
        <v>0</v>
      </c>
    </row>
    <row r="194" spans="1:12" ht="15" customHeight="1" x14ac:dyDescent="0.45">
      <c r="A194" t="s">
        <v>171</v>
      </c>
      <c r="B194" t="str">
        <f>'Hand &amp; Power Tools'!A23</f>
        <v>PT-4</v>
      </c>
      <c r="C194" t="str">
        <f>'Hand &amp; Power Tools'!B23</f>
        <v>Portable Power Tool Guards</v>
      </c>
      <c r="D194" t="str">
        <f>'Hand &amp; Power Tools'!C23</f>
        <v>Portable circular saws must be equipped with a fixed guard above the base plate and a self-adjusting lower guard that returns to the covering position when removed from the material. The lower guard must not be pinned or wedged open.</v>
      </c>
      <c r="E194" t="str">
        <f>'Hand &amp; Power Tools'!E23</f>
        <v>Select rating</v>
      </c>
      <c r="F194">
        <f>'Hand &amp; Power Tools'!F23</f>
        <v>0</v>
      </c>
      <c r="G194">
        <f>'Hand &amp; Power Tools'!G23</f>
        <v>8</v>
      </c>
      <c r="H194">
        <f>'Hand &amp; Power Tools'!H23</f>
        <v>0</v>
      </c>
      <c r="I194">
        <f>'Hand &amp; Power Tools'!I23</f>
        <v>0</v>
      </c>
      <c r="J194" t="str">
        <f>'Hand &amp; Power Tools'!J23</f>
        <v>29 CFR 1910.243(a)(1)-(a)(2)</v>
      </c>
      <c r="K194">
        <f>IF('Hand &amp; Power Tools'!E23="Very High",5,IF('Hand &amp; Power Tools'!E23="High",4,IF('Hand &amp; Power Tools'!E23="Moderate",3,IF('Hand &amp; Power Tools'!E23="Low",2,IF('Hand &amp; Power Tools'!E23="Observation",1,0)))))</f>
        <v>0</v>
      </c>
      <c r="L194">
        <f>'Hand &amp; Power Tools'!K23</f>
        <v>0</v>
      </c>
    </row>
    <row r="195" spans="1:12" ht="15" customHeight="1" x14ac:dyDescent="0.45">
      <c r="A195" t="s">
        <v>171</v>
      </c>
      <c r="B195" t="str">
        <f>'Hand &amp; Power Tools'!A24</f>
        <v>PT-5</v>
      </c>
      <c r="C195" t="str">
        <f>'Hand &amp; Power Tools'!B24</f>
        <v>Portable Power Tool Guards</v>
      </c>
      <c r="D195" t="str">
        <f>'Hand &amp; Power Tools'!C24</f>
        <v>Portable belt sanders must be provided with guards at each nip point where the sanding belt makes contact with the pulley. Guards must be installed to prevent contact with nip points.</v>
      </c>
      <c r="E195" t="str">
        <f>'Hand &amp; Power Tools'!E24</f>
        <v>Select rating</v>
      </c>
      <c r="F195">
        <f>'Hand &amp; Power Tools'!F24</f>
        <v>0</v>
      </c>
      <c r="G195">
        <f>'Hand &amp; Power Tools'!G24</f>
        <v>5</v>
      </c>
      <c r="H195">
        <f>'Hand &amp; Power Tools'!H24</f>
        <v>0</v>
      </c>
      <c r="I195">
        <f>'Hand &amp; Power Tools'!I24</f>
        <v>0</v>
      </c>
      <c r="J195" t="str">
        <f>'Hand &amp; Power Tools'!J24</f>
        <v>29 CFR 1910.243(a)(3)</v>
      </c>
      <c r="K195">
        <f>IF('Hand &amp; Power Tools'!E24="Very High",5,IF('Hand &amp; Power Tools'!E24="High",4,IF('Hand &amp; Power Tools'!E24="Moderate",3,IF('Hand &amp; Power Tools'!E24="Low",2,IF('Hand &amp; Power Tools'!E24="Observation",1,0)))))</f>
        <v>0</v>
      </c>
      <c r="L195">
        <f>'Hand &amp; Power Tools'!K24</f>
        <v>0</v>
      </c>
    </row>
    <row r="196" spans="1:12" ht="15" customHeight="1" x14ac:dyDescent="0.45">
      <c r="A196" t="s">
        <v>171</v>
      </c>
      <c r="B196" t="str">
        <f>'Hand &amp; Power Tools'!A25</f>
        <v>PT-6</v>
      </c>
      <c r="C196" t="str">
        <f>'Hand &amp; Power Tools'!B25</f>
        <v>Portable Power Tool Guards</v>
      </c>
      <c r="D196" t="str">
        <f>'Hand &amp; Power Tools'!C25</f>
        <v>Switches on portable circular saws, chain saws, and percussion tools must be designed so the tool will stop running when pressure is removed from the switch. These tools must not be capable of being locked in the 'on' position.</v>
      </c>
      <c r="E196" t="str">
        <f>'Hand &amp; Power Tools'!E25</f>
        <v>Select rating</v>
      </c>
      <c r="F196">
        <f>'Hand &amp; Power Tools'!F25</f>
        <v>0</v>
      </c>
      <c r="G196">
        <f>'Hand &amp; Power Tools'!G25</f>
        <v>6</v>
      </c>
      <c r="H196">
        <f>'Hand &amp; Power Tools'!H25</f>
        <v>0</v>
      </c>
      <c r="I196">
        <f>'Hand &amp; Power Tools'!I25</f>
        <v>0</v>
      </c>
      <c r="J196" t="str">
        <f>'Hand &amp; Power Tools'!J25</f>
        <v>29 CFR 1910.243(a)(4)</v>
      </c>
      <c r="K196">
        <f>IF('Hand &amp; Power Tools'!E25="Very High",5,IF('Hand &amp; Power Tools'!E25="High",4,IF('Hand &amp; Power Tools'!E25="Moderate",3,IF('Hand &amp; Power Tools'!E25="Low",2,IF('Hand &amp; Power Tools'!E25="Observation",1,0)))))</f>
        <v>0</v>
      </c>
      <c r="L196">
        <f>'Hand &amp; Power Tools'!K25</f>
        <v>0</v>
      </c>
    </row>
    <row r="197" spans="1:12" ht="15" customHeight="1" x14ac:dyDescent="0.45">
      <c r="A197" t="s">
        <v>171</v>
      </c>
      <c r="B197" t="str">
        <f>'Hand &amp; Power Tools'!A27</f>
        <v>PT-7</v>
      </c>
      <c r="C197" t="str">
        <f>'Hand &amp; Power Tools'!B27</f>
        <v>Pneumatic Tools</v>
      </c>
      <c r="D197" t="str">
        <f>'Hand &amp; Power Tools'!C27</f>
        <v>Pneumatic tools must be secured to hoses to prevent accidental disconnection. Safety clips or retainers must be used on all pneumatic chisels, hammers, drills, and similar tools to prevent the tool from being ejected from the barrel.</v>
      </c>
      <c r="E197" t="str">
        <f>'Hand &amp; Power Tools'!E27</f>
        <v>Select rating</v>
      </c>
      <c r="F197">
        <f>'Hand &amp; Power Tools'!F27</f>
        <v>0</v>
      </c>
      <c r="G197">
        <f>'Hand &amp; Power Tools'!G27</f>
        <v>8</v>
      </c>
      <c r="H197">
        <f>'Hand &amp; Power Tools'!H27</f>
        <v>0</v>
      </c>
      <c r="I197">
        <f>'Hand &amp; Power Tools'!I27</f>
        <v>0</v>
      </c>
      <c r="J197" t="str">
        <f>'Hand &amp; Power Tools'!J27</f>
        <v>29 CFR 1910.243(b)(1)-(b)(2)</v>
      </c>
      <c r="K197">
        <f>IF('Hand &amp; Power Tools'!E27="Very High",5,IF('Hand &amp; Power Tools'!E27="High",4,IF('Hand &amp; Power Tools'!E27="Moderate",3,IF('Hand &amp; Power Tools'!E27="Low",2,IF('Hand &amp; Power Tools'!E27="Observation",1,0)))))</f>
        <v>0</v>
      </c>
      <c r="L197">
        <f>'Hand &amp; Power Tools'!K27</f>
        <v>0</v>
      </c>
    </row>
    <row r="198" spans="1:12" ht="15" customHeight="1" x14ac:dyDescent="0.45">
      <c r="A198" t="s">
        <v>171</v>
      </c>
      <c r="B198" t="str">
        <f>'Hand &amp; Power Tools'!A28</f>
        <v>PT-8</v>
      </c>
      <c r="C198" t="str">
        <f>'Hand &amp; Power Tools'!B28</f>
        <v>Pneumatic Tools</v>
      </c>
      <c r="D198" t="str">
        <f>'Hand &amp; Power Tools'!C28</f>
        <v>Pneumatic hose connections must be secured with positive means to prevent accidental disconnection. Safety locking pins, wire, or safety cables must be used at each hose coupling in lines over 1/2 inch inside diameter.</v>
      </c>
      <c r="E198" t="str">
        <f>'Hand &amp; Power Tools'!E28</f>
        <v>Select rating</v>
      </c>
      <c r="F198">
        <f>'Hand &amp; Power Tools'!F28</f>
        <v>0</v>
      </c>
      <c r="G198">
        <f>'Hand &amp; Power Tools'!G28</f>
        <v>6</v>
      </c>
      <c r="H198">
        <f>'Hand &amp; Power Tools'!H28</f>
        <v>0</v>
      </c>
      <c r="I198">
        <f>'Hand &amp; Power Tools'!I28</f>
        <v>0</v>
      </c>
      <c r="J198" t="str">
        <f>'Hand &amp; Power Tools'!J28</f>
        <v>29 CFR 1910.243(b)(3)</v>
      </c>
      <c r="K198">
        <f>IF('Hand &amp; Power Tools'!E28="Very High",5,IF('Hand &amp; Power Tools'!E28="High",4,IF('Hand &amp; Power Tools'!E28="Moderate",3,IF('Hand &amp; Power Tools'!E28="Low",2,IF('Hand &amp; Power Tools'!E28="Observation",1,0)))))</f>
        <v>0</v>
      </c>
      <c r="L198">
        <f>'Hand &amp; Power Tools'!K28</f>
        <v>0</v>
      </c>
    </row>
    <row r="199" spans="1:12" ht="15" customHeight="1" x14ac:dyDescent="0.45">
      <c r="A199" t="s">
        <v>171</v>
      </c>
      <c r="B199" t="str">
        <f>'Hand &amp; Power Tools'!A30</f>
        <v>PT-9</v>
      </c>
      <c r="C199" t="str">
        <f>'Hand &amp; Power Tools'!B30</f>
        <v>Abrasive Wheels on Portable Grinders</v>
      </c>
      <c r="D199" t="str">
        <f>'Hand &amp; Power Tools'!C30</f>
        <v>Abrasive wheels used on portable grinders must be used only on machines provided with safety guards — except for wheels where the application makes guarding impractical (disc wheels used for grinding inside grooves) where the entire grinding surface is engaged.</v>
      </c>
      <c r="E199" t="str">
        <f>'Hand &amp; Power Tools'!E30</f>
        <v>Select rating</v>
      </c>
      <c r="F199">
        <f>'Hand &amp; Power Tools'!F30</f>
        <v>0</v>
      </c>
      <c r="G199">
        <f>'Hand &amp; Power Tools'!G30</f>
        <v>10</v>
      </c>
      <c r="H199">
        <f>'Hand &amp; Power Tools'!H30</f>
        <v>0</v>
      </c>
      <c r="I199">
        <f>'Hand &amp; Power Tools'!I30</f>
        <v>0</v>
      </c>
      <c r="J199" t="str">
        <f>'Hand &amp; Power Tools'!J30</f>
        <v>29 CFR 1910.243(c)(1)-(c)(4)</v>
      </c>
      <c r="K199">
        <f>IF('Hand &amp; Power Tools'!E30="Very High",5,IF('Hand &amp; Power Tools'!E30="High",4,IF('Hand &amp; Power Tools'!E30="Moderate",3,IF('Hand &amp; Power Tools'!E30="Low",2,IF('Hand &amp; Power Tools'!E30="Observation",1,0)))))</f>
        <v>0</v>
      </c>
      <c r="L199">
        <f>'Hand &amp; Power Tools'!K30</f>
        <v>0</v>
      </c>
    </row>
    <row r="200" spans="1:12" ht="15" customHeight="1" x14ac:dyDescent="0.45">
      <c r="A200" t="s">
        <v>171</v>
      </c>
      <c r="B200" t="str">
        <f>'Hand &amp; Power Tools'!A31</f>
        <v>PT-10</v>
      </c>
      <c r="C200" t="str">
        <f>'Hand &amp; Power Tools'!B31</f>
        <v>Abrasive Wheels on Portable Grinders</v>
      </c>
      <c r="D200" t="str">
        <f>'Hand &amp; Power Tools'!C31</f>
        <v>Abrasive wheels on portable grinders must be closely inspected and ring-tested (sounded) immediately before mounting. The wheel must fit freely on the spindle; flanges must be the correct size; and the wheel must not exceed the RPM rating of the grinder.</v>
      </c>
      <c r="E200" t="str">
        <f>'Hand &amp; Power Tools'!E31</f>
        <v>Select rating</v>
      </c>
      <c r="F200">
        <f>'Hand &amp; Power Tools'!F31</f>
        <v>0</v>
      </c>
      <c r="G200">
        <f>'Hand &amp; Power Tools'!G31</f>
        <v>8</v>
      </c>
      <c r="H200">
        <f>'Hand &amp; Power Tools'!H31</f>
        <v>0</v>
      </c>
      <c r="I200">
        <f>'Hand &amp; Power Tools'!I31</f>
        <v>0</v>
      </c>
      <c r="J200" t="str">
        <f>'Hand &amp; Power Tools'!J31</f>
        <v>29 CFR 1910.243(c)(5)</v>
      </c>
      <c r="K200">
        <f>IF('Hand &amp; Power Tools'!E31="Very High",5,IF('Hand &amp; Power Tools'!E31="High",4,IF('Hand &amp; Power Tools'!E31="Moderate",3,IF('Hand &amp; Power Tools'!E31="Low",2,IF('Hand &amp; Power Tools'!E31="Observation",1,0)))))</f>
        <v>0</v>
      </c>
      <c r="L200">
        <f>'Hand &amp; Power Tools'!K31</f>
        <v>0</v>
      </c>
    </row>
    <row r="201" spans="1:12" ht="15" customHeight="1" x14ac:dyDescent="0.45">
      <c r="A201" t="s">
        <v>171</v>
      </c>
      <c r="B201" t="str">
        <f>'Hand &amp; Power Tools'!A33</f>
        <v>PT-11</v>
      </c>
      <c r="C201" t="str">
        <f>'Hand &amp; Power Tools'!B33</f>
        <v>Explosive-Actuated (Powder-Actuated) Tools</v>
      </c>
      <c r="D201" t="str">
        <f>'Hand &amp; Power Tools'!C33</f>
        <v>Explosive-actuated fastening tools (powder-actuated tools) must be provided with specific safety features: a guarded muzzle that prevents tool discharge unless against a surface; a safety that prevents firing unless the muzzle guard is depressed; a firing mechanism that prevents discharge if dropped.</v>
      </c>
      <c r="E201" t="str">
        <f>'Hand &amp; Power Tools'!E33</f>
        <v>Select rating</v>
      </c>
      <c r="F201">
        <f>'Hand &amp; Power Tools'!F33</f>
        <v>0</v>
      </c>
      <c r="G201">
        <f>'Hand &amp; Power Tools'!G33</f>
        <v>8</v>
      </c>
      <c r="H201">
        <f>'Hand &amp; Power Tools'!H33</f>
        <v>0</v>
      </c>
      <c r="I201">
        <f>'Hand &amp; Power Tools'!I33</f>
        <v>0</v>
      </c>
      <c r="J201" t="str">
        <f>'Hand &amp; Power Tools'!J33</f>
        <v>29 CFR 1910.243(d)(1)-(d)(2)</v>
      </c>
      <c r="K201">
        <f>IF('Hand &amp; Power Tools'!E33="Very High",5,IF('Hand &amp; Power Tools'!E33="High",4,IF('Hand &amp; Power Tools'!E33="Moderate",3,IF('Hand &amp; Power Tools'!E33="Low",2,IF('Hand &amp; Power Tools'!E33="Observation",1,0)))))</f>
        <v>0</v>
      </c>
      <c r="L201">
        <f>'Hand &amp; Power Tools'!K33</f>
        <v>0</v>
      </c>
    </row>
    <row r="202" spans="1:12" ht="15" customHeight="1" x14ac:dyDescent="0.45">
      <c r="A202" t="s">
        <v>171</v>
      </c>
      <c r="B202" t="str">
        <f>'Hand &amp; Power Tools'!A34</f>
        <v>PT-12</v>
      </c>
      <c r="C202" t="str">
        <f>'Hand &amp; Power Tools'!B34</f>
        <v>Explosive-Actuated (Powder-Actuated) Tools</v>
      </c>
      <c r="D202" t="str">
        <f>'Hand &amp; Power Tools'!C34</f>
        <v>Operators of explosive-actuated fastening tools must be trained to operate them safely and must carry their certification on their person at all times while using the tool. Operators must be at least 18 years old.</v>
      </c>
      <c r="E202" t="str">
        <f>'Hand &amp; Power Tools'!E34</f>
        <v>Select rating</v>
      </c>
      <c r="F202">
        <f>'Hand &amp; Power Tools'!F34</f>
        <v>0</v>
      </c>
      <c r="G202">
        <f>'Hand &amp; Power Tools'!G34</f>
        <v>8</v>
      </c>
      <c r="H202">
        <f>'Hand &amp; Power Tools'!H34</f>
        <v>0</v>
      </c>
      <c r="I202">
        <f>'Hand &amp; Power Tools'!I34</f>
        <v>0</v>
      </c>
      <c r="J202" t="str">
        <f>'Hand &amp; Power Tools'!J34</f>
        <v>29 CFR 1910.243(d)(1),(d)(5)</v>
      </c>
      <c r="K202">
        <f>IF('Hand &amp; Power Tools'!E34="Very High",5,IF('Hand &amp; Power Tools'!E34="High",4,IF('Hand &amp; Power Tools'!E34="Moderate",3,IF('Hand &amp; Power Tools'!E34="Low",2,IF('Hand &amp; Power Tools'!E34="Observation",1,0)))))</f>
        <v>0</v>
      </c>
      <c r="L202">
        <f>'Hand &amp; Power Tools'!K34</f>
        <v>0</v>
      </c>
    </row>
    <row r="203" spans="1:12" ht="15" customHeight="1" x14ac:dyDescent="0.45">
      <c r="A203" t="s">
        <v>171</v>
      </c>
      <c r="B203" t="str">
        <f>'Hand &amp; Power Tools'!A36</f>
        <v>PT-13</v>
      </c>
      <c r="C203" t="str">
        <f>'Hand &amp; Power Tools'!B36</f>
        <v>Jacks</v>
      </c>
      <c r="D203" t="str">
        <f>'Hand &amp; Power Tools'!C36</f>
        <v>Jacks (hydraulic, mechanical, and ratchet-type) must have the rated load legibly and permanently marked in a prominent location. Jacks must not be loaded beyond their rated capacity. The base of each jack must be placed on a firm, level surface. All load-bearing surfaces must be protected against slippage.</v>
      </c>
      <c r="E203" t="str">
        <f>'Hand &amp; Power Tools'!E36</f>
        <v>Select rating</v>
      </c>
      <c r="F203">
        <f>'Hand &amp; Power Tools'!F36</f>
        <v>0</v>
      </c>
      <c r="G203">
        <f>'Hand &amp; Power Tools'!G36</f>
        <v>6</v>
      </c>
      <c r="H203">
        <f>'Hand &amp; Power Tools'!H36</f>
        <v>0</v>
      </c>
      <c r="I203">
        <f>'Hand &amp; Power Tools'!I36</f>
        <v>0</v>
      </c>
      <c r="J203" t="str">
        <f>'Hand &amp; Power Tools'!J36</f>
        <v>29 CFR 1910.244(a)(1)-(a)(2)</v>
      </c>
      <c r="K203">
        <f>IF('Hand &amp; Power Tools'!E36="Very High",5,IF('Hand &amp; Power Tools'!E36="High",4,IF('Hand &amp; Power Tools'!E36="Moderate",3,IF('Hand &amp; Power Tools'!E36="Low",2,IF('Hand &amp; Power Tools'!E36="Observation",1,0)))))</f>
        <v>0</v>
      </c>
      <c r="L203">
        <f>'Hand &amp; Power Tools'!K36</f>
        <v>0</v>
      </c>
    </row>
    <row r="204" spans="1:12" ht="15" customHeight="1" x14ac:dyDescent="0.45">
      <c r="A204" t="s">
        <v>172</v>
      </c>
      <c r="B204" t="str">
        <f>'Hazard Communication'!A19</f>
        <v>HC-1</v>
      </c>
      <c r="C204" t="str">
        <f>'Hazard Communication'!B19</f>
        <v>Written Hazard Communication Program</v>
      </c>
      <c r="D204" t="str">
        <f>'Hazard Communication'!C19</f>
        <v>A written Hazard Communication (HazCom) program must be developed, implemented, and maintained at the workplace. The program must describe how the facility will meet the requirements for labels, SDSs, and employee training, and must include a list of all hazardous chemicals at the workplace.</v>
      </c>
      <c r="E204" t="str">
        <f>'Hazard Communication'!E19</f>
        <v>Select rating</v>
      </c>
      <c r="F204">
        <f>'Hazard Communication'!F19</f>
        <v>0</v>
      </c>
      <c r="G204">
        <f>'Hazard Communication'!G19</f>
        <v>10</v>
      </c>
      <c r="H204">
        <f>'Hazard Communication'!H19</f>
        <v>0</v>
      </c>
      <c r="I204">
        <f>'Hazard Communication'!I19</f>
        <v>0</v>
      </c>
      <c r="J204" t="str">
        <f>'Hazard Communication'!J19</f>
        <v>29 CFR 1910.1200(e)(1)-(e)(2)</v>
      </c>
      <c r="K204">
        <f>IF('Hazard Communication'!E19="Very High",5,IF('Hazard Communication'!E19="High",4,IF('Hazard Communication'!E19="Moderate",3,IF('Hazard Communication'!E19="Low",2,IF('Hazard Communication'!E19="Observation",1,0)))))</f>
        <v>0</v>
      </c>
      <c r="L204">
        <f>'Hazard Communication'!K19</f>
        <v>0</v>
      </c>
    </row>
    <row r="205" spans="1:12" ht="15" customHeight="1" x14ac:dyDescent="0.45">
      <c r="A205" t="s">
        <v>172</v>
      </c>
      <c r="B205" t="str">
        <f>'Hazard Communication'!A20</f>
        <v>HC-2</v>
      </c>
      <c r="C205" t="str">
        <f>'Hazard Communication'!B20</f>
        <v>Written Hazard Communication Program</v>
      </c>
      <c r="D205" t="str">
        <f>'Hazard Communication'!C20</f>
        <v>The HazCom program must be made available to employees and their representatives upon request.</v>
      </c>
      <c r="E205" t="str">
        <f>'Hazard Communication'!E20</f>
        <v>Select rating</v>
      </c>
      <c r="F205">
        <f>'Hazard Communication'!F20</f>
        <v>0</v>
      </c>
      <c r="G205">
        <f>'Hazard Communication'!G20</f>
        <v>6</v>
      </c>
      <c r="H205">
        <f>'Hazard Communication'!H20</f>
        <v>0</v>
      </c>
      <c r="I205">
        <f>'Hazard Communication'!I20</f>
        <v>0</v>
      </c>
      <c r="J205" t="str">
        <f>'Hazard Communication'!J20</f>
        <v>29 CFR 1910.1200(e)(4)</v>
      </c>
      <c r="K205">
        <f>IF('Hazard Communication'!E20="Very High",5,IF('Hazard Communication'!E20="High",4,IF('Hazard Communication'!E20="Moderate",3,IF('Hazard Communication'!E20="Low",2,IF('Hazard Communication'!E20="Observation",1,0)))))</f>
        <v>0</v>
      </c>
      <c r="L205">
        <f>'Hazard Communication'!K20</f>
        <v>0</v>
      </c>
    </row>
    <row r="206" spans="1:12" ht="15" customHeight="1" x14ac:dyDescent="0.45">
      <c r="A206" t="s">
        <v>172</v>
      </c>
      <c r="B206" t="str">
        <f>'Hazard Communication'!A21</f>
        <v>HC-3</v>
      </c>
      <c r="C206" t="str">
        <f>'Hazard Communication'!B21</f>
        <v>Written Hazard Communication Program</v>
      </c>
      <c r="D206" t="str">
        <f>'Hazard Communication'!C21</f>
        <v>Multi-employer workplaces: where employees of other employers work on site, the host employer must ensure those contractors receive SDSs and labeling information for hazardous chemicals they may be exposed to.</v>
      </c>
      <c r="E206" t="str">
        <f>'Hazard Communication'!E21</f>
        <v>Select rating</v>
      </c>
      <c r="F206">
        <f>'Hazard Communication'!F21</f>
        <v>0</v>
      </c>
      <c r="G206">
        <f>'Hazard Communication'!G21</f>
        <v>6</v>
      </c>
      <c r="H206">
        <f>'Hazard Communication'!H21</f>
        <v>0</v>
      </c>
      <c r="I206">
        <f>'Hazard Communication'!I21</f>
        <v>0</v>
      </c>
      <c r="J206" t="str">
        <f>'Hazard Communication'!J21</f>
        <v>29 CFR 1910.1200(e)(2)</v>
      </c>
      <c r="K206">
        <f>IF('Hazard Communication'!E21="Very High",5,IF('Hazard Communication'!E21="High",4,IF('Hazard Communication'!E21="Moderate",3,IF('Hazard Communication'!E21="Low",2,IF('Hazard Communication'!E21="Observation",1,0)))))</f>
        <v>0</v>
      </c>
      <c r="L206">
        <f>'Hazard Communication'!K21</f>
        <v>0</v>
      </c>
    </row>
    <row r="207" spans="1:12" ht="15" customHeight="1" x14ac:dyDescent="0.45">
      <c r="A207" t="s">
        <v>172</v>
      </c>
      <c r="B207" t="str">
        <f>'Hazard Communication'!A23</f>
        <v>HC-4</v>
      </c>
      <c r="C207" t="str">
        <f>'Hazard Communication'!B23</f>
        <v>Container Labels</v>
      </c>
      <c r="D207" t="str">
        <f>'Hazard Communication'!C23</f>
        <v>Each container of hazardous chemicals in the workplace must be labeled, tagged, or marked with: (1) product identifier; (2) signal word; (3) hazard statement(s); (4) pictogram(s); (5) precautionary statement(s); and (6) name/address/phone number of the chemical manufacturer, importer, or responsible party. Labels must be legible, in English, and prominently displayed.</v>
      </c>
      <c r="E207" t="str">
        <f>'Hazard Communication'!E23</f>
        <v>Select rating</v>
      </c>
      <c r="F207">
        <f>'Hazard Communication'!F23</f>
        <v>0</v>
      </c>
      <c r="G207">
        <f>'Hazard Communication'!G23</f>
        <v>10</v>
      </c>
      <c r="H207">
        <f>'Hazard Communication'!H23</f>
        <v>0</v>
      </c>
      <c r="I207">
        <f>'Hazard Communication'!I23</f>
        <v>0</v>
      </c>
      <c r="J207" t="str">
        <f>'Hazard Communication'!J23</f>
        <v>29 CFR 1910.1200(f)(1),(f)(5)</v>
      </c>
      <c r="K207">
        <f>IF('Hazard Communication'!E23="Very High",5,IF('Hazard Communication'!E23="High",4,IF('Hazard Communication'!E23="Moderate",3,IF('Hazard Communication'!E23="Low",2,IF('Hazard Communication'!E23="Observation",1,0)))))</f>
        <v>0</v>
      </c>
      <c r="L207">
        <f>'Hazard Communication'!K23</f>
        <v>0</v>
      </c>
    </row>
    <row r="208" spans="1:12" ht="15" customHeight="1" x14ac:dyDescent="0.45">
      <c r="A208" t="s">
        <v>172</v>
      </c>
      <c r="B208" t="str">
        <f>'Hazard Communication'!A24</f>
        <v>HC-5</v>
      </c>
      <c r="C208" t="str">
        <f>'Hazard Communication'!B24</f>
        <v>Container Labels</v>
      </c>
      <c r="D208" t="str">
        <f>'Hazard Communication'!C24</f>
        <v>Workplace labels on secondary containers (re-filled from a bulk container) must contain, at minimum, the product identifier and words, pictures, symbols, or combinations that provide general information about the hazards. Full GHS labels are preferred.</v>
      </c>
      <c r="E208" t="str">
        <f>'Hazard Communication'!E24</f>
        <v>Select rating</v>
      </c>
      <c r="F208">
        <f>'Hazard Communication'!F24</f>
        <v>0</v>
      </c>
      <c r="G208">
        <f>'Hazard Communication'!G24</f>
        <v>8</v>
      </c>
      <c r="H208">
        <f>'Hazard Communication'!H24</f>
        <v>0</v>
      </c>
      <c r="I208">
        <f>'Hazard Communication'!I24</f>
        <v>0</v>
      </c>
      <c r="J208" t="str">
        <f>'Hazard Communication'!J24</f>
        <v>29 CFR 1910.1200(f)(6)</v>
      </c>
      <c r="K208">
        <f>IF('Hazard Communication'!E24="Very High",5,IF('Hazard Communication'!E24="High",4,IF('Hazard Communication'!E24="Moderate",3,IF('Hazard Communication'!E24="Low",2,IF('Hazard Communication'!E24="Observation",1,0)))))</f>
        <v>0</v>
      </c>
      <c r="L208">
        <f>'Hazard Communication'!K24</f>
        <v>0</v>
      </c>
    </row>
    <row r="209" spans="1:12" ht="15" customHeight="1" x14ac:dyDescent="0.45">
      <c r="A209" t="s">
        <v>172</v>
      </c>
      <c r="B209" t="str">
        <f>'Hazard Communication'!A26</f>
        <v>HC-6</v>
      </c>
      <c r="C209" t="str">
        <f>'Hazard Communication'!B26</f>
        <v>Safety Data Sheets</v>
      </c>
      <c r="D209" t="str">
        <f>'Hazard Communication'!C26</f>
        <v>A Safety Data Sheet (SDS) must be maintained for each hazardous chemical used at the workplace. SDSs must be in the revised 16-section GHS format (not the old 8-section MSDS format). Each SDS must be in English and must be accessible to employees in their work area during each work shift.</v>
      </c>
      <c r="E209" t="str">
        <f>'Hazard Communication'!E26</f>
        <v>Select rating</v>
      </c>
      <c r="F209">
        <f>'Hazard Communication'!F26</f>
        <v>0</v>
      </c>
      <c r="G209">
        <f>'Hazard Communication'!G26</f>
        <v>10</v>
      </c>
      <c r="H209">
        <f>'Hazard Communication'!H26</f>
        <v>0</v>
      </c>
      <c r="I209">
        <f>'Hazard Communication'!I26</f>
        <v>0</v>
      </c>
      <c r="J209" t="str">
        <f>'Hazard Communication'!J26</f>
        <v>29 CFR 1910.1200(g)(1),(g)(8)</v>
      </c>
      <c r="K209">
        <f>IF('Hazard Communication'!E26="Very High",5,IF('Hazard Communication'!E26="High",4,IF('Hazard Communication'!E26="Moderate",3,IF('Hazard Communication'!E26="Low",2,IF('Hazard Communication'!E26="Observation",1,0)))))</f>
        <v>0</v>
      </c>
      <c r="L209">
        <f>'Hazard Communication'!K26</f>
        <v>0</v>
      </c>
    </row>
    <row r="210" spans="1:12" ht="15" customHeight="1" x14ac:dyDescent="0.45">
      <c r="A210" t="s">
        <v>172</v>
      </c>
      <c r="B210" t="str">
        <f>'Hazard Communication'!A27</f>
        <v>HC-7</v>
      </c>
      <c r="C210" t="str">
        <f>'Hazard Communication'!B27</f>
        <v>Safety Data Sheets</v>
      </c>
      <c r="D210" t="str">
        <f>'Hazard Communication'!C27</f>
        <v>SDSs must contain the required 16 sections with accurate, complete information. Critical sections include: Section 2 (hazard identification — signal word, pictograms, hazard statements); Section 4 (first aid); Section 6 (accidental release); Section 7 (handling/storage); Section 8 (exposure controls/PPE); Section 11 (toxicological information).</v>
      </c>
      <c r="E210" t="str">
        <f>'Hazard Communication'!E27</f>
        <v>Select rating</v>
      </c>
      <c r="F210">
        <f>'Hazard Communication'!F27</f>
        <v>0</v>
      </c>
      <c r="G210">
        <f>'Hazard Communication'!G27</f>
        <v>8</v>
      </c>
      <c r="H210">
        <f>'Hazard Communication'!H27</f>
        <v>0</v>
      </c>
      <c r="I210">
        <f>'Hazard Communication'!I27</f>
        <v>0</v>
      </c>
      <c r="J210" t="str">
        <f>'Hazard Communication'!J27</f>
        <v>29 CFR 1910.1200(g)(2)</v>
      </c>
      <c r="K210">
        <f>IF('Hazard Communication'!E27="Very High",5,IF('Hazard Communication'!E27="High",4,IF('Hazard Communication'!E27="Moderate",3,IF('Hazard Communication'!E27="Low",2,IF('Hazard Communication'!E27="Observation",1,0)))))</f>
        <v>0</v>
      </c>
      <c r="L210">
        <f>'Hazard Communication'!K27</f>
        <v>0</v>
      </c>
    </row>
    <row r="211" spans="1:12" ht="15" customHeight="1" x14ac:dyDescent="0.45">
      <c r="A211" t="s">
        <v>172</v>
      </c>
      <c r="B211" t="str">
        <f>'Hazard Communication'!A28</f>
        <v>HC-8</v>
      </c>
      <c r="C211" t="str">
        <f>'Hazard Communication'!B28</f>
        <v>Safety Data Sheets</v>
      </c>
      <c r="D211" t="str">
        <f>'Hazard Communication'!C28</f>
        <v>SDSs must be readily accessible to employees on all shifts and in all work areas where hazardous chemicals are used. Electronic access is acceptable only if there are no barriers to immediate access and a backup system (printed copies) is available for power outages.</v>
      </c>
      <c r="E211" t="str">
        <f>'Hazard Communication'!E28</f>
        <v>Select rating</v>
      </c>
      <c r="F211">
        <f>'Hazard Communication'!F28</f>
        <v>0</v>
      </c>
      <c r="G211">
        <f>'Hazard Communication'!G28</f>
        <v>8</v>
      </c>
      <c r="H211">
        <f>'Hazard Communication'!H28</f>
        <v>0</v>
      </c>
      <c r="I211">
        <f>'Hazard Communication'!I28</f>
        <v>0</v>
      </c>
      <c r="J211" t="str">
        <f>'Hazard Communication'!J28</f>
        <v>29 CFR 1910.1200(g)(8)-(g)(10)</v>
      </c>
      <c r="K211">
        <f>IF('Hazard Communication'!E28="Very High",5,IF('Hazard Communication'!E28="High",4,IF('Hazard Communication'!E28="Moderate",3,IF('Hazard Communication'!E28="Low",2,IF('Hazard Communication'!E28="Observation",1,0)))))</f>
        <v>0</v>
      </c>
      <c r="L211">
        <f>'Hazard Communication'!K28</f>
        <v>0</v>
      </c>
    </row>
    <row r="212" spans="1:12" ht="108.75" customHeight="1" x14ac:dyDescent="0.45">
      <c r="A212" t="s">
        <v>172</v>
      </c>
      <c r="B212" t="str">
        <f>'Hazard Communication'!A30</f>
        <v>HC-9</v>
      </c>
      <c r="C212" t="str">
        <f>'Hazard Communication'!B30</f>
        <v>Employee Training</v>
      </c>
      <c r="D212" s="84" t="str">
        <f>'Hazard Communication'!C30</f>
        <v>Employees must be trained on HazCom at the time of initial assignment and when a new chemical hazard is introduced. Training must cover the following required topics:
(1) The requirements of the HazCom standard and employee rights under it
(2) Operations in the work area where hazardous chemicals are present
(3) Location and availability of the written HazCom program, chemical inventory, and SDSs
(4) Methods used to detect the presence or release of hazardous chemicals
(5) Physical, health, simple asphyxiation, combustible dust, and pyrophoric gas hazards of chemicals
(6) Measures employees can take to protect themselves
(7) Details of the labeling system and how to interpret GHS labels and SDSs</v>
      </c>
      <c r="E212" t="str">
        <f>'Hazard Communication'!E30</f>
        <v>Select rating</v>
      </c>
      <c r="F212">
        <f>'Hazard Communication'!F30</f>
        <v>0</v>
      </c>
      <c r="G212">
        <f>'Hazard Communication'!G30</f>
        <v>10</v>
      </c>
      <c r="H212">
        <f>'Hazard Communication'!H30</f>
        <v>0</v>
      </c>
      <c r="I212">
        <f>'Hazard Communication'!I30</f>
        <v>0</v>
      </c>
      <c r="J212" t="str">
        <f>'Hazard Communication'!J30</f>
        <v>29 CFR 1910.1200(h)(1)-(h)(3)</v>
      </c>
      <c r="K212">
        <f>IF('Hazard Communication'!E30="Very High",5,IF('Hazard Communication'!E30="High",4,IF('Hazard Communication'!E30="Moderate",3,IF('Hazard Communication'!E30="Low",2,IF('Hazard Communication'!E30="Observation",1,0)))))</f>
        <v>0</v>
      </c>
      <c r="L212">
        <f>'Hazard Communication'!K30</f>
        <v>0</v>
      </c>
    </row>
    <row r="213" spans="1:12" ht="15" customHeight="1" x14ac:dyDescent="0.45">
      <c r="A213" t="s">
        <v>172</v>
      </c>
      <c r="B213" t="str">
        <f>'Hazard Communication'!A32</f>
        <v>HC-10</v>
      </c>
      <c r="C213" t="str">
        <f>'Hazard Communication'!B32</f>
        <v>Combustible Dust — HazCom Considerations</v>
      </c>
      <c r="D213" t="str">
        <f>'Hazard Communication'!C32</f>
        <v>Combustible dust hazards must be addressed in the HazCom program. Chemical manufacturers and employers must classify combustible dust hazards and communicate those hazards via labels and SDSs. For gypsum manufacturing, calcined gypsum (stucco/hemihydrate) and fine limestone dust may present combustible dust hazards depending on particle size and moisture content.</v>
      </c>
      <c r="E213" t="str">
        <f>'Hazard Communication'!E32</f>
        <v>Select rating</v>
      </c>
      <c r="F213">
        <f>'Hazard Communication'!F32</f>
        <v>0</v>
      </c>
      <c r="G213">
        <f>'Hazard Communication'!G32</f>
        <v>8</v>
      </c>
      <c r="H213">
        <f>'Hazard Communication'!H32</f>
        <v>0</v>
      </c>
      <c r="I213">
        <f>'Hazard Communication'!I32</f>
        <v>0</v>
      </c>
      <c r="J213" t="str">
        <f>'Hazard Communication'!J32</f>
        <v>29 CFR 1910.1200(c),(d)(4); NFPA 652</v>
      </c>
      <c r="K213">
        <f>IF('Hazard Communication'!E32="Very High",5,IF('Hazard Communication'!E32="High",4,IF('Hazard Communication'!E32="Moderate",3,IF('Hazard Communication'!E32="Low",2,IF('Hazard Communication'!E32="Observation",1,0)))))</f>
        <v>0</v>
      </c>
      <c r="L213">
        <f>'Hazard Communication'!K32</f>
        <v>0</v>
      </c>
    </row>
    <row r="214" spans="1:12" ht="15" customHeight="1" x14ac:dyDescent="0.45">
      <c r="A214" t="s">
        <v>1556</v>
      </c>
      <c r="B214" t="str">
        <f>'Forklifts &amp; Materials'!A19</f>
        <v>PIT-1</v>
      </c>
      <c r="C214" t="str">
        <f>'Forklifts &amp; Materials'!B19</f>
        <v>Materials Handling — General</v>
      </c>
      <c r="D214" t="str">
        <f>'Forklifts &amp; Materials'!C19</f>
        <v>Handling and storage of materials must be conducted safely to minimize risks of physical injury. Storage areas must prevent tripping, fire, and pest harborage. Materials must not be stored in a way that creates hazards from overloading floors or blocking exits, emergency equipment, or passageways.</v>
      </c>
      <c r="E214" t="str">
        <f>'Forklifts &amp; Materials'!E19</f>
        <v>Select rating</v>
      </c>
      <c r="F214">
        <f>'Forklifts &amp; Materials'!F19</f>
        <v>0</v>
      </c>
      <c r="G214">
        <f>'Forklifts &amp; Materials'!G19</f>
        <v>6</v>
      </c>
      <c r="H214">
        <f>'Forklifts &amp; Materials'!H19</f>
        <v>0</v>
      </c>
      <c r="I214">
        <f>'Forklifts &amp; Materials'!I19</f>
        <v>0</v>
      </c>
      <c r="J214" t="str">
        <f>'Forklifts &amp; Materials'!J19</f>
        <v>29 CFR 1910.176(a)-(b)</v>
      </c>
      <c r="K214">
        <f>IF('Forklifts &amp; Materials'!E19="Very High",5,IF('Forklifts &amp; Materials'!E19="High",4,IF('Forklifts &amp; Materials'!E19="Moderate",3,IF('Forklifts &amp; Materials'!E19="Low",2,IF('Forklifts &amp; Materials'!E19="Observation",1,0)))))</f>
        <v>0</v>
      </c>
      <c r="L214">
        <f>'Forklifts &amp; Materials'!K19</f>
        <v>0</v>
      </c>
    </row>
    <row r="215" spans="1:12" ht="15" customHeight="1" x14ac:dyDescent="0.45">
      <c r="A215" t="s">
        <v>1556</v>
      </c>
      <c r="B215" t="str">
        <f>'Forklifts &amp; Materials'!A21</f>
        <v>PIT-2</v>
      </c>
      <c r="C215" t="str">
        <f>'Forklifts &amp; Materials'!B21</f>
        <v>Powered Industrial Truck Design &amp; Designation</v>
      </c>
      <c r="D215" t="str">
        <f>'Forklifts &amp; Materials'!C21</f>
        <v>Powered industrial trucks (forklifts, pallet jacks, reach trucks, etc.) must meet ASME B56.1 design requirements. Each truck must carry a nameplate showing its rated capacity, type designation, and applicable attachments.</v>
      </c>
      <c r="E215" t="str">
        <f>'Forklifts &amp; Materials'!E21</f>
        <v>Select rating</v>
      </c>
      <c r="F215">
        <f>'Forklifts &amp; Materials'!F21</f>
        <v>0</v>
      </c>
      <c r="G215">
        <f>'Forklifts &amp; Materials'!G21</f>
        <v>8</v>
      </c>
      <c r="H215">
        <f>'Forklifts &amp; Materials'!H21</f>
        <v>0</v>
      </c>
      <c r="I215">
        <f>'Forklifts &amp; Materials'!I21</f>
        <v>0</v>
      </c>
      <c r="J215" t="str">
        <f>'Forklifts &amp; Materials'!J21</f>
        <v>29 CFR 1910.178(a)(3)-(a)(4)</v>
      </c>
      <c r="K215">
        <f>IF('Forklifts &amp; Materials'!E21="Very High",5,IF('Forklifts &amp; Materials'!E21="High",4,IF('Forklifts &amp; Materials'!E21="Moderate",3,IF('Forklifts &amp; Materials'!E21="Low",2,IF('Forklifts &amp; Materials'!E21="Observation",1,0)))))</f>
        <v>0</v>
      </c>
      <c r="L215">
        <f>'Forklifts &amp; Materials'!K21</f>
        <v>0</v>
      </c>
    </row>
    <row r="216" spans="1:12" ht="15" customHeight="1" x14ac:dyDescent="0.45">
      <c r="A216" t="s">
        <v>1556</v>
      </c>
      <c r="B216" t="str">
        <f>'Forklifts &amp; Materials'!A22</f>
        <v>PIT-3</v>
      </c>
      <c r="C216" t="str">
        <f>'Forklifts &amp; Materials'!B22</f>
        <v>Powered Industrial Truck Design &amp; Designation</v>
      </c>
      <c r="D216" t="str">
        <f>'Forklifts &amp; Materials'!C22</f>
        <v>Only approved trucks of the correct type designation may be used in classified locations (areas with flammable vapors, gases, or combustible dust). The atmosphere must be classified before trucks are assigned to work in those areas.</v>
      </c>
      <c r="E216" t="str">
        <f>'Forklifts &amp; Materials'!E22</f>
        <v>Select rating</v>
      </c>
      <c r="F216">
        <f>'Forklifts &amp; Materials'!F22</f>
        <v>0</v>
      </c>
      <c r="G216">
        <f>'Forklifts &amp; Materials'!G22</f>
        <v>6</v>
      </c>
      <c r="H216">
        <f>'Forklifts &amp; Materials'!H22</f>
        <v>0</v>
      </c>
      <c r="I216">
        <f>'Forklifts &amp; Materials'!I22</f>
        <v>0</v>
      </c>
      <c r="J216" t="str">
        <f>'Forklifts &amp; Materials'!J22</f>
        <v>29 CFR 1910.178(c)(1)-(c)(7)</v>
      </c>
      <c r="K216">
        <f>IF('Forklifts &amp; Materials'!E22="Very High",5,IF('Forklifts &amp; Materials'!E22="High",4,IF('Forklifts &amp; Materials'!E22="Moderate",3,IF('Forklifts &amp; Materials'!E22="Low",2,IF('Forklifts &amp; Materials'!E22="Observation",1,0)))))</f>
        <v>0</v>
      </c>
      <c r="L216">
        <f>'Forklifts &amp; Materials'!K22</f>
        <v>0</v>
      </c>
    </row>
    <row r="217" spans="1:12" ht="15" customHeight="1" x14ac:dyDescent="0.45">
      <c r="A217" t="s">
        <v>1556</v>
      </c>
      <c r="B217" t="str">
        <f>'Forklifts &amp; Materials'!A24</f>
        <v>PIT-4</v>
      </c>
      <c r="C217" t="str">
        <f>'Forklifts &amp; Materials'!B24</f>
        <v>Operating Requirements</v>
      </c>
      <c r="D217" t="str">
        <f>'Forklifts &amp; Materials'!C24</f>
        <v>Safe operating procedures must be followed at all times. Required procedures include: travel with forks in lowered position; observe posted speed limits; maintain safe distances from personnel; yield to pedestrians; no riding on the forks or load; no placing arms or legs between the uprights or outside the running lines of the truck.</v>
      </c>
      <c r="E217" t="str">
        <f>'Forklifts &amp; Materials'!E24</f>
        <v>Select rating</v>
      </c>
      <c r="F217">
        <f>'Forklifts &amp; Materials'!F24</f>
        <v>0</v>
      </c>
      <c r="G217">
        <f>'Forklifts &amp; Materials'!G24</f>
        <v>10</v>
      </c>
      <c r="H217">
        <f>'Forklifts &amp; Materials'!H24</f>
        <v>0</v>
      </c>
      <c r="I217">
        <f>'Forklifts &amp; Materials'!I24</f>
        <v>0</v>
      </c>
      <c r="J217" t="str">
        <f>'Forklifts &amp; Materials'!J24</f>
        <v>29 CFR 1910.178(m),(n),(o),(p)</v>
      </c>
      <c r="K217">
        <f>IF('Forklifts &amp; Materials'!E24="Very High",5,IF('Forklifts &amp; Materials'!E24="High",4,IF('Forklifts &amp; Materials'!E24="Moderate",3,IF('Forklifts &amp; Materials'!E24="Low",2,IF('Forklifts &amp; Materials'!E24="Observation",1,0)))))</f>
        <v>0</v>
      </c>
      <c r="L217">
        <f>'Forklifts &amp; Materials'!K24</f>
        <v>0</v>
      </c>
    </row>
    <row r="218" spans="1:12" ht="15" customHeight="1" x14ac:dyDescent="0.45">
      <c r="A218" t="s">
        <v>1556</v>
      </c>
      <c r="B218" t="str">
        <f>'Forklifts &amp; Materials'!A25</f>
        <v>PIT-5</v>
      </c>
      <c r="C218" t="str">
        <f>'Forklifts &amp; Materials'!B25</f>
        <v>Operating Requirements</v>
      </c>
      <c r="D218" t="str">
        <f>'Forklifts &amp; Materials'!C25</f>
        <v>Fueling, battery charging, and LPG cylinder exchange must be conducted in designated areas. The area must be clear of ignition sources, well-ventilated, and equipped with appropriate fire protection. Battery charging areas must have spill protection, water for flushing, and eye wash equipment.</v>
      </c>
      <c r="E218" t="str">
        <f>'Forklifts &amp; Materials'!E25</f>
        <v>Select rating</v>
      </c>
      <c r="F218">
        <f>'Forklifts &amp; Materials'!F25</f>
        <v>0</v>
      </c>
      <c r="G218">
        <f>'Forklifts &amp; Materials'!G25</f>
        <v>8</v>
      </c>
      <c r="H218">
        <f>'Forklifts &amp; Materials'!H25</f>
        <v>0</v>
      </c>
      <c r="I218">
        <f>'Forklifts &amp; Materials'!I25</f>
        <v>0</v>
      </c>
      <c r="J218" t="str">
        <f>'Forklifts &amp; Materials'!J25</f>
        <v>29 CFR 1910.178(f)(1)-(f)(5)</v>
      </c>
      <c r="K218">
        <f>IF('Forklifts &amp; Materials'!E25="Very High",5,IF('Forklifts &amp; Materials'!E25="High",4,IF('Forklifts &amp; Materials'!E25="Moderate",3,IF('Forklifts &amp; Materials'!E25="Low",2,IF('Forklifts &amp; Materials'!E25="Observation",1,0)))))</f>
        <v>0</v>
      </c>
      <c r="L218">
        <f>'Forklifts &amp; Materials'!K25</f>
        <v>0</v>
      </c>
    </row>
    <row r="219" spans="1:12" ht="15" customHeight="1" x14ac:dyDescent="0.45">
      <c r="A219" t="s">
        <v>1556</v>
      </c>
      <c r="B219" t="str">
        <f>'Forklifts &amp; Materials'!A26</f>
        <v>PIT-6</v>
      </c>
      <c r="C219" t="str">
        <f>'Forklifts &amp; Materials'!B26</f>
        <v>Operating Requirements</v>
      </c>
      <c r="D219" t="str">
        <f>'Forklifts &amp; Materials'!C26</f>
        <v>Powered industrial trucks must not be operated in areas where the floor or surface cannot safely support the truck and its load. Bridge plates, dock boards, and loading ramps must be checked before the truck crosses them.</v>
      </c>
      <c r="E219" t="str">
        <f>'Forklifts &amp; Materials'!E26</f>
        <v>Select rating</v>
      </c>
      <c r="F219">
        <f>'Forklifts &amp; Materials'!F26</f>
        <v>0</v>
      </c>
      <c r="G219">
        <f>'Forklifts &amp; Materials'!G26</f>
        <v>6</v>
      </c>
      <c r="H219">
        <f>'Forklifts &amp; Materials'!H26</f>
        <v>0</v>
      </c>
      <c r="I219">
        <f>'Forklifts &amp; Materials'!I26</f>
        <v>0</v>
      </c>
      <c r="J219" t="str">
        <f>'Forklifts &amp; Materials'!J26</f>
        <v>29 CFR 1910.178(e)(1)-(e)(2)</v>
      </c>
      <c r="K219">
        <f>IF('Forklifts &amp; Materials'!E26="Very High",5,IF('Forklifts &amp; Materials'!E26="High",4,IF('Forklifts &amp; Materials'!E26="Moderate",3,IF('Forklifts &amp; Materials'!E26="Low",2,IF('Forklifts &amp; Materials'!E26="Observation",1,0)))))</f>
        <v>0</v>
      </c>
      <c r="L219">
        <f>'Forklifts &amp; Materials'!K26</f>
        <v>0</v>
      </c>
    </row>
    <row r="220" spans="1:12" ht="15" customHeight="1" x14ac:dyDescent="0.45">
      <c r="A220" t="s">
        <v>1556</v>
      </c>
      <c r="B220" t="str">
        <f>'Forklifts &amp; Materials'!A28</f>
        <v>PIT-7</v>
      </c>
      <c r="C220" t="str">
        <f>'Forklifts &amp; Materials'!B28</f>
        <v>Inspection &amp; Maintenance</v>
      </c>
      <c r="D220" t="str">
        <f>'Forklifts &amp; Materials'!C28</f>
        <v>Powered industrial trucks must be examined before being placed in service each day (or shift, if used around the clock). Pre-shift inspections must check all safety components. Defects found before or during use must be reported immediately; trucks must not be used until the defect is corrected.</v>
      </c>
      <c r="E220" t="str">
        <f>'Forklifts &amp; Materials'!E28</f>
        <v>Select rating</v>
      </c>
      <c r="F220">
        <f>'Forklifts &amp; Materials'!F28</f>
        <v>0</v>
      </c>
      <c r="G220">
        <f>'Forklifts &amp; Materials'!G28</f>
        <v>10</v>
      </c>
      <c r="H220">
        <f>'Forklifts &amp; Materials'!H28</f>
        <v>0</v>
      </c>
      <c r="I220">
        <f>'Forklifts &amp; Materials'!I28</f>
        <v>0</v>
      </c>
      <c r="J220" t="str">
        <f>'Forklifts &amp; Materials'!J28</f>
        <v>29 CFR 1910.178(q)(1)-(q)(7)</v>
      </c>
      <c r="K220">
        <f>IF('Forklifts &amp; Materials'!E28="Very High",5,IF('Forklifts &amp; Materials'!E28="High",4,IF('Forklifts &amp; Materials'!E28="Moderate",3,IF('Forklifts &amp; Materials'!E28="Low",2,IF('Forklifts &amp; Materials'!E28="Observation",1,0)))))</f>
        <v>0</v>
      </c>
      <c r="L220">
        <f>'Forklifts &amp; Materials'!K28</f>
        <v>0</v>
      </c>
    </row>
    <row r="221" spans="1:12" ht="15" customHeight="1" x14ac:dyDescent="0.45">
      <c r="A221" t="s">
        <v>1556</v>
      </c>
      <c r="B221" t="str">
        <f>'Forklifts &amp; Materials'!A29</f>
        <v>PIT-8</v>
      </c>
      <c r="C221" t="str">
        <f>'Forklifts &amp; Materials'!B29</f>
        <v>Inspection &amp; Maintenance</v>
      </c>
      <c r="D221" t="str">
        <f>'Forklifts &amp; Materials'!C29</f>
        <v>Industrial trucks must be maintained in safe operating condition at all times. Only trained personnel may perform maintenance. Trucks must not be used with mechanical defects. Fuel and hydraulic systems must not have leaks.</v>
      </c>
      <c r="E221" t="str">
        <f>'Forklifts &amp; Materials'!E29</f>
        <v>Select rating</v>
      </c>
      <c r="F221">
        <f>'Forklifts &amp; Materials'!F29</f>
        <v>0</v>
      </c>
      <c r="G221">
        <f>'Forklifts &amp; Materials'!G29</f>
        <v>8</v>
      </c>
      <c r="H221">
        <f>'Forklifts &amp; Materials'!H29</f>
        <v>0</v>
      </c>
      <c r="I221">
        <f>'Forklifts &amp; Materials'!I29</f>
        <v>0</v>
      </c>
      <c r="J221" t="str">
        <f>'Forklifts &amp; Materials'!J29</f>
        <v>29 CFR 1910.178(q)(2)-(q)(7)</v>
      </c>
      <c r="K221">
        <f>IF('Forklifts &amp; Materials'!E29="Very High",5,IF('Forklifts &amp; Materials'!E29="High",4,IF('Forklifts &amp; Materials'!E29="Moderate",3,IF('Forklifts &amp; Materials'!E29="Low",2,IF('Forklifts &amp; Materials'!E29="Observation",1,0)))))</f>
        <v>0</v>
      </c>
      <c r="L221">
        <f>'Forklifts &amp; Materials'!K29</f>
        <v>0</v>
      </c>
    </row>
    <row r="222" spans="1:12" ht="15" customHeight="1" x14ac:dyDescent="0.45">
      <c r="A222" t="s">
        <v>1556</v>
      </c>
      <c r="B222" t="str">
        <f>'Forklifts &amp; Materials'!A31</f>
        <v>PIT-9</v>
      </c>
      <c r="C222" t="str">
        <f>'Forklifts &amp; Materials'!B31</f>
        <v>Operator Training &amp; Evaluation</v>
      </c>
      <c r="D222" t="str">
        <f>'Forklifts &amp; Materials'!C31</f>
        <v>All powered industrial truck operators must be trained before operating a truck. Training must consist of a combination of formal instruction, practical training, and evaluation. The training program must cover truck-specific topics AND workplace-specific topics per 29 CFR 1910.178(l)(2). See Evidence column for required training elements.</v>
      </c>
      <c r="E222" t="str">
        <f>'Forklifts &amp; Materials'!E31</f>
        <v>Select rating</v>
      </c>
      <c r="F222">
        <f>'Forklifts &amp; Materials'!F31</f>
        <v>0</v>
      </c>
      <c r="G222">
        <f>'Forklifts &amp; Materials'!G31</f>
        <v>10</v>
      </c>
      <c r="H222">
        <f>'Forklifts &amp; Materials'!H31</f>
        <v>0</v>
      </c>
      <c r="I222">
        <f>'Forklifts &amp; Materials'!I31</f>
        <v>0</v>
      </c>
      <c r="J222" t="str">
        <f>'Forklifts &amp; Materials'!J31</f>
        <v>29 CFR 1910.178(l)(1)-(l)(2)</v>
      </c>
      <c r="K222">
        <f>IF('Forklifts &amp; Materials'!E31="Very High",5,IF('Forklifts &amp; Materials'!E31="High",4,IF('Forklifts &amp; Materials'!E31="Moderate",3,IF('Forklifts &amp; Materials'!E31="Low",2,IF('Forklifts &amp; Materials'!E31="Observation",1,0)))))</f>
        <v>0</v>
      </c>
      <c r="L222">
        <f>'Forklifts &amp; Materials'!K31</f>
        <v>0</v>
      </c>
    </row>
    <row r="223" spans="1:12" ht="15" customHeight="1" x14ac:dyDescent="0.45">
      <c r="A223" t="s">
        <v>1556</v>
      </c>
      <c r="B223" t="str">
        <f>'Forklifts &amp; Materials'!A32</f>
        <v>PIT-10</v>
      </c>
      <c r="C223" t="str">
        <f>'Forklifts &amp; Materials'!B32</f>
        <v>Operator Training &amp; Evaluation</v>
      </c>
      <c r="D223" t="str">
        <f>'Forklifts &amp; Materials'!C32</f>
        <v>Refresher training and re-evaluation must be conducted when: an operator is observed operating the truck unsafely; an operator has been in an accident or near-miss; the operator is assigned to a different type of truck; conditions in the workplace change that affect safe operation; or the operator has not operated a truck for more than 90 days.</v>
      </c>
      <c r="E223" t="str">
        <f>'Forklifts &amp; Materials'!E32</f>
        <v>Select rating</v>
      </c>
      <c r="F223">
        <f>'Forklifts &amp; Materials'!F32</f>
        <v>0</v>
      </c>
      <c r="G223">
        <f>'Forklifts &amp; Materials'!G32</f>
        <v>8</v>
      </c>
      <c r="H223">
        <f>'Forklifts &amp; Materials'!H32</f>
        <v>0</v>
      </c>
      <c r="I223">
        <f>'Forklifts &amp; Materials'!I32</f>
        <v>0</v>
      </c>
      <c r="J223" t="str">
        <f>'Forklifts &amp; Materials'!J32</f>
        <v>29 CFR 1910.178(l)(4)</v>
      </c>
      <c r="K223">
        <f>IF('Forklifts &amp; Materials'!E32="Very High",5,IF('Forklifts &amp; Materials'!E32="High",4,IF('Forklifts &amp; Materials'!E32="Moderate",3,IF('Forklifts &amp; Materials'!E32="Low",2,IF('Forklifts &amp; Materials'!E32="Observation",1,0)))))</f>
        <v>0</v>
      </c>
      <c r="L223">
        <f>'Forklifts &amp; Materials'!K32</f>
        <v>0</v>
      </c>
    </row>
    <row r="224" spans="1:12" ht="15" customHeight="1" x14ac:dyDescent="0.45">
      <c r="A224" t="s">
        <v>1556</v>
      </c>
      <c r="B224" t="str">
        <f>'Forklifts &amp; Materials'!A33</f>
        <v>PIT-11</v>
      </c>
      <c r="C224" t="str">
        <f>'Forklifts &amp; Materials'!B33</f>
        <v>Operator Training &amp; Evaluation</v>
      </c>
      <c r="D224" t="str">
        <f>'Forklifts &amp; Materials'!C33</f>
        <v>The employer must certify that each operator has been trained and evaluated. The certification must include the operator's name, the date of training, the date of evaluation, and the identity of the person performing the training or evaluation.</v>
      </c>
      <c r="E224" t="str">
        <f>'Forklifts &amp; Materials'!E33</f>
        <v>Select rating</v>
      </c>
      <c r="F224">
        <f>'Forklifts &amp; Materials'!F33</f>
        <v>0</v>
      </c>
      <c r="G224">
        <f>'Forklifts &amp; Materials'!G33</f>
        <v>8</v>
      </c>
      <c r="H224">
        <f>'Forklifts &amp; Materials'!H33</f>
        <v>0</v>
      </c>
      <c r="I224">
        <f>'Forklifts &amp; Materials'!I33</f>
        <v>0</v>
      </c>
      <c r="J224" t="str">
        <f>'Forklifts &amp; Materials'!J33</f>
        <v>29 CFR 1910.178(l)(6)</v>
      </c>
      <c r="K224">
        <f>IF('Forklifts &amp; Materials'!E33="Very High",5,IF('Forklifts &amp; Materials'!E33="High",4,IF('Forklifts &amp; Materials'!E33="Moderate",3,IF('Forklifts &amp; Materials'!E33="Low",2,IF('Forklifts &amp; Materials'!E33="Observation",1,0)))))</f>
        <v>0</v>
      </c>
      <c r="L224">
        <f>'Forklifts &amp; Materials'!K33</f>
        <v>0</v>
      </c>
    </row>
    <row r="225" spans="1:12" ht="15" customHeight="1" x14ac:dyDescent="0.45">
      <c r="A225" t="s">
        <v>1557</v>
      </c>
      <c r="B225" t="str">
        <f>'Cranes, Hoists &amp; Rigging'!A19</f>
        <v>CR-1</v>
      </c>
      <c r="C225" t="str">
        <f>'Cranes, Hoists &amp; Rigging'!B19</f>
        <v>Overhead &amp; Gantry Cranes — Design &amp; Equipment</v>
      </c>
      <c r="D225" t="str">
        <f>'Cranes, Hoists &amp; Rigging'!C19</f>
        <v>Overhead and gantry cranes must be designed in accordance with ASME B30.2 and must be in good mechanical condition. All safety devices, warning systems, and limit switches must be functional.</v>
      </c>
      <c r="E225" t="str">
        <f>'Cranes, Hoists &amp; Rigging'!E19</f>
        <v>Select rating</v>
      </c>
      <c r="F225">
        <f>'Cranes, Hoists &amp; Rigging'!F19</f>
        <v>0</v>
      </c>
      <c r="G225">
        <f>'Cranes, Hoists &amp; Rigging'!G19</f>
        <v>8</v>
      </c>
      <c r="H225">
        <f>'Cranes, Hoists &amp; Rigging'!H19</f>
        <v>0</v>
      </c>
      <c r="I225">
        <f>'Cranes, Hoists &amp; Rigging'!I19</f>
        <v>0</v>
      </c>
      <c r="J225" t="str">
        <f>'Cranes, Hoists &amp; Rigging'!J19</f>
        <v>29 CFR 1910.179(b)-(c)</v>
      </c>
      <c r="K225">
        <f>IF('Cranes, Hoists &amp; Rigging'!E19="Very High",5,IF('Cranes, Hoists &amp; Rigging'!E19="High",4,IF('Cranes, Hoists &amp; Rigging'!E19="Moderate",3,IF('Cranes, Hoists &amp; Rigging'!E19="Low",2,IF('Cranes, Hoists &amp; Rigging'!E19="Observation",1,0)))))</f>
        <v>0</v>
      </c>
      <c r="L225">
        <f>'Cranes, Hoists &amp; Rigging'!K19</f>
        <v>0</v>
      </c>
    </row>
    <row r="226" spans="1:12" ht="15" customHeight="1" x14ac:dyDescent="0.45">
      <c r="A226" t="s">
        <v>1557</v>
      </c>
      <c r="B226" t="str">
        <f>'Cranes, Hoists &amp; Rigging'!A20</f>
        <v>CR-2</v>
      </c>
      <c r="C226" t="str">
        <f>'Cranes, Hoists &amp; Rigging'!B20</f>
        <v>Overhead &amp; Gantry Cranes — Design &amp; Equipment</v>
      </c>
      <c r="D226" t="str">
        <f>'Cranes, Hoists &amp; Rigging'!C20</f>
        <v>All cranes must display the rated load capacity in a prominent location. The operator must not exceed the rated load. Rated load capacities must reflect any attachments or configuration changes.</v>
      </c>
      <c r="E226" t="str">
        <f>'Cranes, Hoists &amp; Rigging'!E20</f>
        <v>Select rating</v>
      </c>
      <c r="F226">
        <f>'Cranes, Hoists &amp; Rigging'!F20</f>
        <v>0</v>
      </c>
      <c r="G226">
        <f>'Cranes, Hoists &amp; Rigging'!G20</f>
        <v>8</v>
      </c>
      <c r="H226">
        <f>'Cranes, Hoists &amp; Rigging'!H20</f>
        <v>0</v>
      </c>
      <c r="I226">
        <f>'Cranes, Hoists &amp; Rigging'!I20</f>
        <v>0</v>
      </c>
      <c r="J226" t="str">
        <f>'Cranes, Hoists &amp; Rigging'!J20</f>
        <v>29 CFR 1910.179(b)(2)</v>
      </c>
      <c r="K226">
        <f>IF('Cranes, Hoists &amp; Rigging'!E20="Very High",5,IF('Cranes, Hoists &amp; Rigging'!E20="High",4,IF('Cranes, Hoists &amp; Rigging'!E20="Moderate",3,IF('Cranes, Hoists &amp; Rigging'!E20="Low",2,IF('Cranes, Hoists &amp; Rigging'!E20="Observation",1,0)))))</f>
        <v>0</v>
      </c>
      <c r="L226">
        <f>'Cranes, Hoists &amp; Rigging'!K20</f>
        <v>0</v>
      </c>
    </row>
    <row r="227" spans="1:12" ht="15" customHeight="1" x14ac:dyDescent="0.45">
      <c r="A227" t="s">
        <v>1557</v>
      </c>
      <c r="B227" t="str">
        <f>'Cranes, Hoists &amp; Rigging'!A22</f>
        <v>CR-3</v>
      </c>
      <c r="C227" t="str">
        <f>'Cranes, Hoists &amp; Rigging'!B22</f>
        <v>Overhead &amp; Gantry Cranes — Inspection</v>
      </c>
      <c r="D227" t="str">
        <f>'Cranes, Hoists &amp; Rigging'!C22</f>
        <v>Cranes in regular service must undergo frequent inspections (daily to monthly, depending on use) and periodic inspections (1-12 months, depending on use). Specific items requiring frequent inspection include: all functional operating mechanisms for maladjustment; deterioration or leakage in lines, tanks, valves, drain pumps; hooks; hoist chains and end connections; rope reeving for non-compliance.</v>
      </c>
      <c r="E227" t="str">
        <f>'Cranes, Hoists &amp; Rigging'!E22</f>
        <v>Select rating</v>
      </c>
      <c r="F227">
        <f>'Cranes, Hoists &amp; Rigging'!F22</f>
        <v>0</v>
      </c>
      <c r="G227">
        <f>'Cranes, Hoists &amp; Rigging'!G22</f>
        <v>10</v>
      </c>
      <c r="H227">
        <f>'Cranes, Hoists &amp; Rigging'!H22</f>
        <v>0</v>
      </c>
      <c r="I227">
        <f>'Cranes, Hoists &amp; Rigging'!I22</f>
        <v>0</v>
      </c>
      <c r="J227" t="str">
        <f>'Cranes, Hoists &amp; Rigging'!J22</f>
        <v>29 CFR 1910.179(j)(1)-(j)(2)</v>
      </c>
      <c r="K227">
        <f>IF('Cranes, Hoists &amp; Rigging'!E22="Very High",5,IF('Cranes, Hoists &amp; Rigging'!E22="High",4,IF('Cranes, Hoists &amp; Rigging'!E22="Moderate",3,IF('Cranes, Hoists &amp; Rigging'!E22="Low",2,IF('Cranes, Hoists &amp; Rigging'!E22="Observation",1,0)))))</f>
        <v>0</v>
      </c>
      <c r="L227">
        <f>'Cranes, Hoists &amp; Rigging'!K22</f>
        <v>0</v>
      </c>
    </row>
    <row r="228" spans="1:12" ht="15" customHeight="1" x14ac:dyDescent="0.45">
      <c r="A228" t="s">
        <v>1557</v>
      </c>
      <c r="B228" t="str">
        <f>'Cranes, Hoists &amp; Rigging'!A23</f>
        <v>CR-4</v>
      </c>
      <c r="C228" t="str">
        <f>'Cranes, Hoists &amp; Rigging'!B23</f>
        <v>Overhead &amp; Gantry Cranes — Inspection</v>
      </c>
      <c r="D228" t="str">
        <f>'Cranes, Hoists &amp; Rigging'!C23</f>
        <v>Periodic inspections (at 1-12 month intervals depending on use) must cover all components not covered in frequent inspections, including deformed, cracked, or corroded members; loose bolts or rivets; cracked or worn sheaves and drums; worn, cracked, or distorted parts; all hooks per ASME B30.10.</v>
      </c>
      <c r="E228" t="str">
        <f>'Cranes, Hoists &amp; Rigging'!E23</f>
        <v>Select rating</v>
      </c>
      <c r="F228">
        <f>'Cranes, Hoists &amp; Rigging'!F23</f>
        <v>0</v>
      </c>
      <c r="G228">
        <f>'Cranes, Hoists &amp; Rigging'!G23</f>
        <v>10</v>
      </c>
      <c r="H228">
        <f>'Cranes, Hoists &amp; Rigging'!H23</f>
        <v>0</v>
      </c>
      <c r="I228">
        <f>'Cranes, Hoists &amp; Rigging'!I23</f>
        <v>0</v>
      </c>
      <c r="J228" t="str">
        <f>'Cranes, Hoists &amp; Rigging'!J23</f>
        <v>29 CFR 1910.179(j)(3)</v>
      </c>
      <c r="K228">
        <f>IF('Cranes, Hoists &amp; Rigging'!E23="Very High",5,IF('Cranes, Hoists &amp; Rigging'!E23="High",4,IF('Cranes, Hoists &amp; Rigging'!E23="Moderate",3,IF('Cranes, Hoists &amp; Rigging'!E23="Low",2,IF('Cranes, Hoists &amp; Rigging'!E23="Observation",1,0)))))</f>
        <v>0</v>
      </c>
      <c r="L228">
        <f>'Cranes, Hoists &amp; Rigging'!K23</f>
        <v>0</v>
      </c>
    </row>
    <row r="229" spans="1:12" ht="15" customHeight="1" x14ac:dyDescent="0.45">
      <c r="A229" t="s">
        <v>1557</v>
      </c>
      <c r="B229" t="str">
        <f>'Cranes, Hoists &amp; Rigging'!A24</f>
        <v>CR-5</v>
      </c>
      <c r="C229" t="str">
        <f>'Cranes, Hoists &amp; Rigging'!B24</f>
        <v>Overhead &amp; Gantry Cranes — Inspection</v>
      </c>
      <c r="D229" t="str">
        <f>'Cranes, Hoists &amp; Rigging'!C24</f>
        <v>All wire ropes on cranes must be inspected and must be replaced if any of the following conditions exist: in running ropes — more than 2 broken wires in one lay in areas subject to normal abrasion, more than 1 broken wire at end attachments; visible wear reducing the rope diameter by 1/3 of the original diameter; kinking, crushing, bird-caging; evidence of heat damage; reduction from original diameter of 3/64 inch (1/2 inch rope) or more.</v>
      </c>
      <c r="E229" t="str">
        <f>'Cranes, Hoists &amp; Rigging'!E24</f>
        <v>Select rating</v>
      </c>
      <c r="F229">
        <f>'Cranes, Hoists &amp; Rigging'!F24</f>
        <v>0</v>
      </c>
      <c r="G229">
        <f>'Cranes, Hoists &amp; Rigging'!G24</f>
        <v>8</v>
      </c>
      <c r="H229">
        <f>'Cranes, Hoists &amp; Rigging'!H24</f>
        <v>0</v>
      </c>
      <c r="I229">
        <f>'Cranes, Hoists &amp; Rigging'!I24</f>
        <v>0</v>
      </c>
      <c r="J229" t="str">
        <f>'Cranes, Hoists &amp; Rigging'!J24</f>
        <v>29 CFR 1910.179(m)(1)-(m)(3)</v>
      </c>
      <c r="K229">
        <f>IF('Cranes, Hoists &amp; Rigging'!E24="Very High",5,IF('Cranes, Hoists &amp; Rigging'!E24="High",4,IF('Cranes, Hoists &amp; Rigging'!E24="Moderate",3,IF('Cranes, Hoists &amp; Rigging'!E24="Low",2,IF('Cranes, Hoists &amp; Rigging'!E24="Observation",1,0)))))</f>
        <v>0</v>
      </c>
      <c r="L229">
        <f>'Cranes, Hoists &amp; Rigging'!K24</f>
        <v>0</v>
      </c>
    </row>
    <row r="230" spans="1:12" ht="15" customHeight="1" x14ac:dyDescent="0.45">
      <c r="A230" t="s">
        <v>1557</v>
      </c>
      <c r="B230" t="str">
        <f>'Cranes, Hoists &amp; Rigging'!A26</f>
        <v>CR-6</v>
      </c>
      <c r="C230" t="str">
        <f>'Cranes, Hoists &amp; Rigging'!B26</f>
        <v>Overhead &amp; Gantry Cranes — Operations</v>
      </c>
      <c r="D230" t="str">
        <f>'Cranes, Hoists &amp; Rigging'!C26</f>
        <v>Crane operators must be qualified and must follow established operating procedures. Key requirements: do not use a crane to lift people; do not leave a load suspended unattended; protect the load from swinging; use tag lines to control loads; do not side-pull or drag loads; use proper hand signals or radio communication with the signal person.</v>
      </c>
      <c r="E230" t="str">
        <f>'Cranes, Hoists &amp; Rigging'!E26</f>
        <v>Select rating</v>
      </c>
      <c r="F230">
        <f>'Cranes, Hoists &amp; Rigging'!F26</f>
        <v>0</v>
      </c>
      <c r="G230">
        <f>'Cranes, Hoists &amp; Rigging'!G26</f>
        <v>10</v>
      </c>
      <c r="H230">
        <f>'Cranes, Hoists &amp; Rigging'!H26</f>
        <v>0</v>
      </c>
      <c r="I230">
        <f>'Cranes, Hoists &amp; Rigging'!I26</f>
        <v>0</v>
      </c>
      <c r="J230" t="str">
        <f>'Cranes, Hoists &amp; Rigging'!J26</f>
        <v>29 CFR 1910.179(n)(1)-(n)(4)</v>
      </c>
      <c r="K230">
        <f>IF('Cranes, Hoists &amp; Rigging'!E26="Very High",5,IF('Cranes, Hoists &amp; Rigging'!E26="High",4,IF('Cranes, Hoists &amp; Rigging'!E26="Moderate",3,IF('Cranes, Hoists &amp; Rigging'!E26="Low",2,IF('Cranes, Hoists &amp; Rigging'!E26="Observation",1,0)))))</f>
        <v>0</v>
      </c>
      <c r="L230">
        <f>'Cranes, Hoists &amp; Rigging'!K26</f>
        <v>0</v>
      </c>
    </row>
    <row r="231" spans="1:12" ht="15" customHeight="1" x14ac:dyDescent="0.45">
      <c r="A231" t="s">
        <v>1557</v>
      </c>
      <c r="B231" t="str">
        <f>'Cranes, Hoists &amp; Rigging'!A27</f>
        <v>CR-7</v>
      </c>
      <c r="C231" t="str">
        <f>'Cranes, Hoists &amp; Rigging'!B27</f>
        <v>Overhead &amp; Gantry Cranes — Operations</v>
      </c>
      <c r="D231" t="str">
        <f>'Cranes, Hoists &amp; Rigging'!C27</f>
        <v>A preventive maintenance (PM) program must be established based on the crane manufacturer's recommendations. Unsafe conditions found during any inspection must be corrected before the crane is returned to service. Cranes must not be loaded beyond their rated loads, and modifications that might affect safe operation require manufacturer or qualified engineer approval.</v>
      </c>
      <c r="E231" t="str">
        <f>'Cranes, Hoists &amp; Rigging'!E27</f>
        <v>Select rating</v>
      </c>
      <c r="F231">
        <f>'Cranes, Hoists &amp; Rigging'!F27</f>
        <v>0</v>
      </c>
      <c r="G231">
        <f>'Cranes, Hoists &amp; Rigging'!G27</f>
        <v>8</v>
      </c>
      <c r="H231">
        <f>'Cranes, Hoists &amp; Rigging'!H27</f>
        <v>0</v>
      </c>
      <c r="I231">
        <f>'Cranes, Hoists &amp; Rigging'!I27</f>
        <v>0</v>
      </c>
      <c r="J231" t="str">
        <f>'Cranes, Hoists &amp; Rigging'!J27</f>
        <v>29 CFR 1910.179(b)(5),(j)(3)(c)-(j)(3)(d)</v>
      </c>
      <c r="K231">
        <f>IF('Cranes, Hoists &amp; Rigging'!E27="Very High",5,IF('Cranes, Hoists &amp; Rigging'!E27="High",4,IF('Cranes, Hoists &amp; Rigging'!E27="Moderate",3,IF('Cranes, Hoists &amp; Rigging'!E27="Low",2,IF('Cranes, Hoists &amp; Rigging'!E27="Observation",1,0)))))</f>
        <v>0</v>
      </c>
      <c r="L231">
        <f>'Cranes, Hoists &amp; Rigging'!K27</f>
        <v>0</v>
      </c>
    </row>
    <row r="232" spans="1:12" ht="15" customHeight="1" x14ac:dyDescent="0.45">
      <c r="A232" t="s">
        <v>1557</v>
      </c>
      <c r="B232" t="str">
        <f>'Cranes, Hoists &amp; Rigging'!A29</f>
        <v>CR-8</v>
      </c>
      <c r="C232" t="str">
        <f>'Cranes, Hoists &amp; Rigging'!B29</f>
        <v>Slings</v>
      </c>
      <c r="D232" t="str">
        <f>'Cranes, Hoists &amp; Rigging'!C29</f>
        <v>All slings and attachments must be inspected before each use and removed from service if any of the following defects are present: missing or illegible identification tag; deformations, nicks, cracks, corrosion; weld splatter; worn or damaged end fittings; broken wires exceeding limits; kinking, crushing, or bird-caging in wire rope; cuts, tears, or holes in synthetic slings.</v>
      </c>
      <c r="E232" t="str">
        <f>'Cranes, Hoists &amp; Rigging'!E29</f>
        <v>Select rating</v>
      </c>
      <c r="F232">
        <f>'Cranes, Hoists &amp; Rigging'!F29</f>
        <v>0</v>
      </c>
      <c r="G232">
        <f>'Cranes, Hoists &amp; Rigging'!G29</f>
        <v>10</v>
      </c>
      <c r="H232">
        <f>'Cranes, Hoists &amp; Rigging'!H29</f>
        <v>0</v>
      </c>
      <c r="I232">
        <f>'Cranes, Hoists &amp; Rigging'!I29</f>
        <v>0</v>
      </c>
      <c r="J232" t="str">
        <f>'Cranes, Hoists &amp; Rigging'!J29</f>
        <v>29 CFR 1910.184(c)(2)-(c)(3)</v>
      </c>
      <c r="K232">
        <f>IF('Cranes, Hoists &amp; Rigging'!E29="Very High",5,IF('Cranes, Hoists &amp; Rigging'!E29="High",4,IF('Cranes, Hoists &amp; Rigging'!E29="Moderate",3,IF('Cranes, Hoists &amp; Rigging'!E29="Low",2,IF('Cranes, Hoists &amp; Rigging'!E29="Observation",1,0)))))</f>
        <v>0</v>
      </c>
      <c r="L232">
        <f>'Cranes, Hoists &amp; Rigging'!K29</f>
        <v>0</v>
      </c>
    </row>
    <row r="233" spans="1:12" ht="15" customHeight="1" x14ac:dyDescent="0.45">
      <c r="A233" t="s">
        <v>1557</v>
      </c>
      <c r="B233" t="str">
        <f>'Cranes, Hoists &amp; Rigging'!A30</f>
        <v>CR-9</v>
      </c>
      <c r="C233" t="str">
        <f>'Cranes, Hoists &amp; Rigging'!B30</f>
        <v>Slings</v>
      </c>
      <c r="D233" t="str">
        <f>'Cranes, Hoists &amp; Rigging'!C30</f>
        <v>Sling capacity must not be exceeded. Rated capacity is based on the type of hitch (single leg, two-leg, basket, choker), the angle of lift, and the sling material. Using a sling at an angle reduces its effective capacity — a 60-degree sling angle reduces capacity to 87% of vertical capacity; a 30-degree angle reduces capacity to 50%.</v>
      </c>
      <c r="E233" t="str">
        <f>'Cranes, Hoists &amp; Rigging'!E30</f>
        <v>Select rating</v>
      </c>
      <c r="F233">
        <f>'Cranes, Hoists &amp; Rigging'!F30</f>
        <v>0</v>
      </c>
      <c r="G233">
        <f>'Cranes, Hoists &amp; Rigging'!G30</f>
        <v>8</v>
      </c>
      <c r="H233">
        <f>'Cranes, Hoists &amp; Rigging'!H30</f>
        <v>0</v>
      </c>
      <c r="I233">
        <f>'Cranes, Hoists &amp; Rigging'!I30</f>
        <v>0</v>
      </c>
      <c r="J233" t="str">
        <f>'Cranes, Hoists &amp; Rigging'!J30</f>
        <v>29 CFR 1910.184(c)(1)</v>
      </c>
      <c r="K233">
        <f>IF('Cranes, Hoists &amp; Rigging'!E30="Very High",5,IF('Cranes, Hoists &amp; Rigging'!E30="High",4,IF('Cranes, Hoists &amp; Rigging'!E30="Moderate",3,IF('Cranes, Hoists &amp; Rigging'!E30="Low",2,IF('Cranes, Hoists &amp; Rigging'!E30="Observation",1,0)))))</f>
        <v>0</v>
      </c>
      <c r="L233">
        <f>'Cranes, Hoists &amp; Rigging'!K30</f>
        <v>0</v>
      </c>
    </row>
    <row r="234" spans="1:12" ht="15" customHeight="1" x14ac:dyDescent="0.45">
      <c r="A234" t="s">
        <v>1557</v>
      </c>
      <c r="B234" t="str">
        <f>'Cranes, Hoists &amp; Rigging'!A31</f>
        <v>CR-10</v>
      </c>
      <c r="C234" t="str">
        <f>'Cranes, Hoists &amp; Rigging'!B31</f>
        <v>Slings</v>
      </c>
      <c r="D234" t="str">
        <f>'Cranes, Hoists &amp; Rigging'!C31</f>
        <v>Alloy steel chain slings must not be used below the minimum temperature limit for the grade of chain. Chain slings must be proof tested per ASME B30.9 requirements. Damaged chain slings must be removed from service and returned to the manufacturer for repair — field repairs by welding, cutting, or splicing are prohibited.</v>
      </c>
      <c r="E234" t="str">
        <f>'Cranes, Hoists &amp; Rigging'!E31</f>
        <v>Select rating</v>
      </c>
      <c r="F234">
        <f>'Cranes, Hoists &amp; Rigging'!F31</f>
        <v>0</v>
      </c>
      <c r="G234">
        <f>'Cranes, Hoists &amp; Rigging'!G31</f>
        <v>8</v>
      </c>
      <c r="H234">
        <f>'Cranes, Hoists &amp; Rigging'!H31</f>
        <v>0</v>
      </c>
      <c r="I234">
        <f>'Cranes, Hoists &amp; Rigging'!I31</f>
        <v>0</v>
      </c>
      <c r="J234" t="str">
        <f>'Cranes, Hoists &amp; Rigging'!J31</f>
        <v>29 CFR 1910.184(e)(1)-(e)(9)</v>
      </c>
      <c r="K234">
        <f>IF('Cranes, Hoists &amp; Rigging'!E31="Very High",5,IF('Cranes, Hoists &amp; Rigging'!E31="High",4,IF('Cranes, Hoists &amp; Rigging'!E31="Moderate",3,IF('Cranes, Hoists &amp; Rigging'!E31="Low",2,IF('Cranes, Hoists &amp; Rigging'!E31="Observation",1,0)))))</f>
        <v>0</v>
      </c>
      <c r="L234">
        <f>'Cranes, Hoists &amp; Rigging'!K31</f>
        <v>0</v>
      </c>
    </row>
    <row r="235" spans="1:12" ht="15" customHeight="1" x14ac:dyDescent="0.45">
      <c r="A235" t="s">
        <v>174</v>
      </c>
      <c r="B235" t="str">
        <f>'Hazardous Materials'!A19</f>
        <v>HM-1</v>
      </c>
      <c r="C235" t="str">
        <f>'Hazardous Materials'!B19</f>
        <v>Compressed Gas Cylinders</v>
      </c>
      <c r="D235" t="str">
        <f>'Hazardous Materials'!C19</f>
        <v>Each employer must conduct a visual inspection of compressed gas cylinders to verify safety of use. Only cylinders that are in safe condition may be used. Safety relief devices must be inspected at regular intervals.</v>
      </c>
      <c r="E235" t="str">
        <f>'Hazardous Materials'!E19</f>
        <v>Select rating</v>
      </c>
      <c r="F235">
        <f>'Hazardous Materials'!F19</f>
        <v>0</v>
      </c>
      <c r="G235">
        <f>'Hazardous Materials'!G19</f>
        <v>8</v>
      </c>
      <c r="H235">
        <f>'Hazardous Materials'!H19</f>
        <v>0</v>
      </c>
      <c r="I235">
        <f>'Hazardous Materials'!I19</f>
        <v>0</v>
      </c>
      <c r="J235" t="str">
        <f>'Hazardous Materials'!J19</f>
        <v>29 CFR 1910.101(a)-(c)</v>
      </c>
      <c r="K235">
        <f>IF('Hazardous Materials'!E19="Very High",5,IF('Hazardous Materials'!E19="High",4,IF('Hazardous Materials'!E19="Moderate",3,IF('Hazardous Materials'!E19="Low",2,IF('Hazardous Materials'!E19="Observation",1,0)))))</f>
        <v>0</v>
      </c>
      <c r="L235">
        <f>'Hazardous Materials'!K19</f>
        <v>0</v>
      </c>
    </row>
    <row r="236" spans="1:12" ht="15" customHeight="1" x14ac:dyDescent="0.45">
      <c r="A236" t="s">
        <v>174</v>
      </c>
      <c r="B236" t="str">
        <f>'Hazardous Materials'!A20</f>
        <v>HM-2</v>
      </c>
      <c r="C236" t="str">
        <f>'Hazardous Materials'!B20</f>
        <v>Compressed Gas Cylinders</v>
      </c>
      <c r="D236" t="str">
        <f>'Hazardous Materials'!C20</f>
        <v>Compressed gas cylinders must be stored, handled, and used safely. Cylinders must be secured upright to prevent falling, stored away from heat sources, and kept away from electrical panels and ignition sources. Valve protection caps must be in place when cylinders are not connected.</v>
      </c>
      <c r="E236" t="str">
        <f>'Hazardous Materials'!E20</f>
        <v>Select rating</v>
      </c>
      <c r="F236">
        <f>'Hazardous Materials'!F20</f>
        <v>0</v>
      </c>
      <c r="G236">
        <f>'Hazardous Materials'!G20</f>
        <v>10</v>
      </c>
      <c r="H236">
        <f>'Hazardous Materials'!H20</f>
        <v>0</v>
      </c>
      <c r="I236">
        <f>'Hazardous Materials'!I20</f>
        <v>0</v>
      </c>
      <c r="J236" t="str">
        <f>'Hazardous Materials'!J20</f>
        <v>29 CFR 1910.101(b); CGA P-1</v>
      </c>
      <c r="K236">
        <f>IF('Hazardous Materials'!E20="Very High",5,IF('Hazardous Materials'!E20="High",4,IF('Hazardous Materials'!E20="Moderate",3,IF('Hazardous Materials'!E20="Low",2,IF('Hazardous Materials'!E20="Observation",1,0)))))</f>
        <v>0</v>
      </c>
      <c r="L236">
        <f>'Hazardous Materials'!K20</f>
        <v>0</v>
      </c>
    </row>
    <row r="237" spans="1:12" ht="15" customHeight="1" x14ac:dyDescent="0.45">
      <c r="A237" t="s">
        <v>174</v>
      </c>
      <c r="B237" t="str">
        <f>'Hazardous Materials'!A21</f>
        <v>HM-3</v>
      </c>
      <c r="C237" t="str">
        <f>'Hazardous Materials'!B21</f>
        <v>Compressed Gas Cylinders</v>
      </c>
      <c r="D237" t="str">
        <f>'Hazardous Materials'!C21</f>
        <v>When using compressed gas cylinders, cylinders must be moved properly (on an approved hand truck or cart), must not be dragged, dropped, or used as rollers. Gas must be withdrawn from cylinders only through listed regulators. Cylinders must not be emptied below 25 psig residual pressure.</v>
      </c>
      <c r="E237" t="str">
        <f>'Hazardous Materials'!E21</f>
        <v>Select rating</v>
      </c>
      <c r="F237">
        <f>'Hazardous Materials'!F21</f>
        <v>0</v>
      </c>
      <c r="G237">
        <f>'Hazardous Materials'!G21</f>
        <v>6</v>
      </c>
      <c r="H237">
        <f>'Hazardous Materials'!H21</f>
        <v>0</v>
      </c>
      <c r="I237">
        <f>'Hazardous Materials'!I21</f>
        <v>0</v>
      </c>
      <c r="J237" t="str">
        <f>'Hazardous Materials'!J21</f>
        <v>29 CFR 1910.101(b); CGA P-1</v>
      </c>
      <c r="K237">
        <f>IF('Hazardous Materials'!E21="Very High",5,IF('Hazardous Materials'!E21="High",4,IF('Hazardous Materials'!E21="Moderate",3,IF('Hazardous Materials'!E21="Low",2,IF('Hazardous Materials'!E21="Observation",1,0)))))</f>
        <v>0</v>
      </c>
      <c r="L237">
        <f>'Hazardous Materials'!K21</f>
        <v>0</v>
      </c>
    </row>
    <row r="238" spans="1:12" ht="15" customHeight="1" x14ac:dyDescent="0.45">
      <c r="A238" t="s">
        <v>174</v>
      </c>
      <c r="B238" t="str">
        <f>'Hazardous Materials'!A22</f>
        <v>HM-4</v>
      </c>
      <c r="C238" t="str">
        <f>'Hazardous Materials'!B22</f>
        <v>Compressed Gas Cylinders</v>
      </c>
      <c r="D238" t="str">
        <f>'Hazardous Materials'!C22</f>
        <v>Warning signs must be posted in compressed gas container storage areas. Storage areas for flammable gases must be free of ignition sources. Toxic and corrosive gases must be stored in a ventilated area with appropriate hazard identification.</v>
      </c>
      <c r="E238" t="str">
        <f>'Hazardous Materials'!E22</f>
        <v>Select rating</v>
      </c>
      <c r="F238">
        <f>'Hazardous Materials'!F22</f>
        <v>0</v>
      </c>
      <c r="G238">
        <f>'Hazardous Materials'!G22</f>
        <v>6</v>
      </c>
      <c r="H238">
        <f>'Hazardous Materials'!H22</f>
        <v>0</v>
      </c>
      <c r="I238">
        <f>'Hazardous Materials'!I22</f>
        <v>0</v>
      </c>
      <c r="J238" t="str">
        <f>'Hazardous Materials'!J22</f>
        <v>29 CFR 1910.101(b)</v>
      </c>
      <c r="K238">
        <f>IF('Hazardous Materials'!E22="Very High",5,IF('Hazardous Materials'!E22="High",4,IF('Hazardous Materials'!E22="Moderate",3,IF('Hazardous Materials'!E22="Low",2,IF('Hazardous Materials'!E22="Observation",1,0)))))</f>
        <v>0</v>
      </c>
      <c r="L238">
        <f>'Hazardous Materials'!K22</f>
        <v>0</v>
      </c>
    </row>
    <row r="239" spans="1:12" ht="15" customHeight="1" x14ac:dyDescent="0.45">
      <c r="A239" t="s">
        <v>174</v>
      </c>
      <c r="B239" t="str">
        <f>'Hazardous Materials'!A24</f>
        <v>HM-5</v>
      </c>
      <c r="C239" t="str">
        <f>'Hazardous Materials'!B24</f>
        <v>Flammable Liquids</v>
      </c>
      <c r="D239" t="str">
        <f>'Hazardous Materials'!C24</f>
        <v>Flammable liquids must be stored in listed safety containers or approved storage cabinets. Quantities stored outside of approved storage areas must be limited. Safety cans must have a spring-closing lid, flash arrester, and must be labeled with contents.</v>
      </c>
      <c r="E239" t="str">
        <f>'Hazardous Materials'!E24</f>
        <v>Select rating</v>
      </c>
      <c r="F239">
        <f>'Hazardous Materials'!F24</f>
        <v>0</v>
      </c>
      <c r="G239">
        <f>'Hazardous Materials'!G24</f>
        <v>10</v>
      </c>
      <c r="H239">
        <f>'Hazardous Materials'!H24</f>
        <v>0</v>
      </c>
      <c r="I239">
        <f>'Hazardous Materials'!I24</f>
        <v>0</v>
      </c>
      <c r="J239" t="str">
        <f>'Hazardous Materials'!J24</f>
        <v>29 CFR 1910.106(d)(2)-(d)(3),(e)(2)-(e)(3)</v>
      </c>
      <c r="K239">
        <f>IF('Hazardous Materials'!E24="Very High",5,IF('Hazardous Materials'!E24="High",4,IF('Hazardous Materials'!E24="Moderate",3,IF('Hazardous Materials'!E24="Low",2,IF('Hazardous Materials'!E24="Observation",1,0)))))</f>
        <v>0</v>
      </c>
      <c r="L239">
        <f>'Hazardous Materials'!K24</f>
        <v>0</v>
      </c>
    </row>
    <row r="240" spans="1:12" ht="15" customHeight="1" x14ac:dyDescent="0.45">
      <c r="A240" t="s">
        <v>174</v>
      </c>
      <c r="B240" t="str">
        <f>'Hazardous Materials'!A25</f>
        <v>HM-6</v>
      </c>
      <c r="C240" t="str">
        <f>'Hazardous Materials'!B25</f>
        <v>Flammable Liquids</v>
      </c>
      <c r="D240" t="str">
        <f>'Hazardous Materials'!C25</f>
        <v>Storage cabinets for flammable liquids must meet design and capacity requirements: not more than 60 gallons of Class I or Class II liquids, or not more than 120 gallons of Class III liquids per cabinet; must be labeled FLAMMABLE — KEEP FIRE AWAY; must be liquid-tight at the bottom sill.</v>
      </c>
      <c r="E240" t="str">
        <f>'Hazardous Materials'!E25</f>
        <v>Select rating</v>
      </c>
      <c r="F240">
        <f>'Hazardous Materials'!F25</f>
        <v>0</v>
      </c>
      <c r="G240">
        <f>'Hazardous Materials'!G25</f>
        <v>8</v>
      </c>
      <c r="H240">
        <f>'Hazardous Materials'!H25</f>
        <v>0</v>
      </c>
      <c r="I240">
        <f>'Hazardous Materials'!I25</f>
        <v>0</v>
      </c>
      <c r="J240" t="str">
        <f>'Hazardous Materials'!J25</f>
        <v>29 CFR 1910.106(d)(3)(i)-(d)(3)(iii)</v>
      </c>
      <c r="K240">
        <f>IF('Hazardous Materials'!E25="Very High",5,IF('Hazardous Materials'!E25="High",4,IF('Hazardous Materials'!E25="Moderate",3,IF('Hazardous Materials'!E25="Low",2,IF('Hazardous Materials'!E25="Observation",1,0)))))</f>
        <v>0</v>
      </c>
      <c r="L240">
        <f>'Hazardous Materials'!K25</f>
        <v>0</v>
      </c>
    </row>
    <row r="241" spans="1:12" ht="15" customHeight="1" x14ac:dyDescent="0.45">
      <c r="A241" t="s">
        <v>174</v>
      </c>
      <c r="B241" t="str">
        <f>'Hazardous Materials'!A26</f>
        <v>HM-7</v>
      </c>
      <c r="C241" t="str">
        <f>'Hazardous Materials'!B26</f>
        <v>Flammable Liquids</v>
      </c>
      <c r="D241" t="str">
        <f>'Hazardous Materials'!C26</f>
        <v>Sources of ignition must be controlled in areas where flammable liquids are handled or stored. This includes open flames, smoking, welding, cutting, grinding, and electrical sparks. Grounding and bonding must be used during transfer of Class I flammable liquids to prevent static discharge.</v>
      </c>
      <c r="E241" t="str">
        <f>'Hazardous Materials'!E26</f>
        <v>Select rating</v>
      </c>
      <c r="F241">
        <f>'Hazardous Materials'!F26</f>
        <v>0</v>
      </c>
      <c r="G241">
        <f>'Hazardous Materials'!G26</f>
        <v>8</v>
      </c>
      <c r="H241">
        <f>'Hazardous Materials'!H26</f>
        <v>0</v>
      </c>
      <c r="I241">
        <f>'Hazardous Materials'!I26</f>
        <v>0</v>
      </c>
      <c r="J241" t="str">
        <f>'Hazardous Materials'!J26</f>
        <v>29 CFR 1910.106(e)(6)-(e)(7)</v>
      </c>
      <c r="K241">
        <f>IF('Hazardous Materials'!E26="Very High",5,IF('Hazardous Materials'!E26="High",4,IF('Hazardous Materials'!E26="Moderate",3,IF('Hazardous Materials'!E26="Low",2,IF('Hazardous Materials'!E26="Observation",1,0)))))</f>
        <v>0</v>
      </c>
      <c r="L241">
        <f>'Hazardous Materials'!K26</f>
        <v>0</v>
      </c>
    </row>
    <row r="242" spans="1:12" ht="15" customHeight="1" x14ac:dyDescent="0.45">
      <c r="A242" t="s">
        <v>174</v>
      </c>
      <c r="B242" t="str">
        <f>'Hazardous Materials'!A27</f>
        <v>HM-8</v>
      </c>
      <c r="C242" t="str">
        <f>'Hazardous Materials'!B27</f>
        <v>Flammable Liquids</v>
      </c>
      <c r="D242" t="str">
        <f>'Hazardous Materials'!C27</f>
        <v>Adequate housekeeping must be maintained in flammable liquid storage and use areas. Waste materials and rags soaked with flammable or combustible liquids must be stored in metal containers with self-closing lids and disposed of properly.</v>
      </c>
      <c r="E242" t="str">
        <f>'Hazardous Materials'!E27</f>
        <v>Select rating</v>
      </c>
      <c r="F242">
        <f>'Hazardous Materials'!F27</f>
        <v>0</v>
      </c>
      <c r="G242">
        <f>'Hazardous Materials'!G27</f>
        <v>6</v>
      </c>
      <c r="H242">
        <f>'Hazardous Materials'!H27</f>
        <v>0</v>
      </c>
      <c r="I242">
        <f>'Hazardous Materials'!I27</f>
        <v>0</v>
      </c>
      <c r="J242" t="str">
        <f>'Hazardous Materials'!J27</f>
        <v>29 CFR 1910.106(e)(9)(i)-(e)(9)(iii)</v>
      </c>
      <c r="K242">
        <f>IF('Hazardous Materials'!E27="Very High",5,IF('Hazardous Materials'!E27="High",4,IF('Hazardous Materials'!E27="Moderate",3,IF('Hazardous Materials'!E27="Low",2,IF('Hazardous Materials'!E27="Observation",1,0)))))</f>
        <v>0</v>
      </c>
      <c r="L242">
        <f>'Hazardous Materials'!K27</f>
        <v>0</v>
      </c>
    </row>
    <row r="243" spans="1:12" ht="15" customHeight="1" x14ac:dyDescent="0.45">
      <c r="A243" t="s">
        <v>174</v>
      </c>
      <c r="B243" t="str">
        <f>'Hazardous Materials'!A29</f>
        <v>HM-9</v>
      </c>
      <c r="C243" t="str">
        <f>'Hazardous Materials'!B29</f>
        <v>Liquefied Petroleum Gas (LP Gas / Propane)</v>
      </c>
      <c r="D243" t="str">
        <f>'Hazardous Materials'!C29</f>
        <v>LP gas equipment and systems must be approved for the intended use. Containers and cylinders must be marked with the type of gas, water capacity, and service pressure. Containers must not exceed their rated fill density.</v>
      </c>
      <c r="E243" t="str">
        <f>'Hazardous Materials'!E29</f>
        <v>Select rating</v>
      </c>
      <c r="F243">
        <f>'Hazardous Materials'!F29</f>
        <v>0</v>
      </c>
      <c r="G243">
        <f>'Hazardous Materials'!G29</f>
        <v>8</v>
      </c>
      <c r="H243">
        <f>'Hazardous Materials'!H29</f>
        <v>0</v>
      </c>
      <c r="I243">
        <f>'Hazardous Materials'!I29</f>
        <v>0</v>
      </c>
      <c r="J243" t="str">
        <f>'Hazardous Materials'!J29</f>
        <v>29 CFR 1910.110(b)(3)-(b)(5)</v>
      </c>
      <c r="K243">
        <f>IF('Hazardous Materials'!E29="Very High",5,IF('Hazardous Materials'!E29="High",4,IF('Hazardous Materials'!E29="Moderate",3,IF('Hazardous Materials'!E29="Low",2,IF('Hazardous Materials'!E29="Observation",1,0)))))</f>
        <v>0</v>
      </c>
      <c r="L243">
        <f>'Hazardous Materials'!K29</f>
        <v>0</v>
      </c>
    </row>
    <row r="244" spans="1:12" ht="15" customHeight="1" x14ac:dyDescent="0.45">
      <c r="A244" t="s">
        <v>174</v>
      </c>
      <c r="B244" t="str">
        <f>'Hazardous Materials'!A30</f>
        <v>HM-10</v>
      </c>
      <c r="C244" t="str">
        <f>'Hazardous Materials'!B30</f>
        <v>Liquefied Petroleum Gas (LP Gas / Propane)</v>
      </c>
      <c r="D244" t="str">
        <f>'Hazardous Materials'!C30</f>
        <v>LP gas storage areas must be kept clear of ignitable materials and weeds/debris. LP gas must not be used in buildings unless the building is ventilated to prevent dangerous concentrations. Cylinders must be stored in ventilated areas away from ignition sources and must not be stored inside buildings except as permitted.</v>
      </c>
      <c r="E244" t="str">
        <f>'Hazardous Materials'!E30</f>
        <v>Select rating</v>
      </c>
      <c r="F244">
        <f>'Hazardous Materials'!F30</f>
        <v>0</v>
      </c>
      <c r="G244">
        <f>'Hazardous Materials'!G30</f>
        <v>8</v>
      </c>
      <c r="H244">
        <f>'Hazardous Materials'!H30</f>
        <v>0</v>
      </c>
      <c r="I244">
        <f>'Hazardous Materials'!I30</f>
        <v>0</v>
      </c>
      <c r="J244" t="str">
        <f>'Hazardous Materials'!J30</f>
        <v>29 CFR 1910.110(b)(6),(b)(13)</v>
      </c>
      <c r="K244">
        <f>IF('Hazardous Materials'!E30="Very High",5,IF('Hazardous Materials'!E30="High",4,IF('Hazardous Materials'!E30="Moderate",3,IF('Hazardous Materials'!E30="Low",2,IF('Hazardous Materials'!E30="Observation",1,0)))))</f>
        <v>0</v>
      </c>
      <c r="L244">
        <f>'Hazardous Materials'!K30</f>
        <v>0</v>
      </c>
    </row>
    <row r="245" spans="1:12" ht="15" customHeight="1" x14ac:dyDescent="0.45">
      <c r="A245" t="s">
        <v>174</v>
      </c>
      <c r="B245" t="str">
        <f>'Hazardous Materials'!A31</f>
        <v>HM-11</v>
      </c>
      <c r="C245" t="str">
        <f>'Hazardous Materials'!B31</f>
        <v>Liquefied Petroleum Gas (LP Gas / Propane)</v>
      </c>
      <c r="D245" t="str">
        <f>'Hazardous Materials'!C31</f>
        <v>Maintenance and operational personnel who handle LP gas equipment must be properly trained in safe handling, storage, and use. Emergency shutoffs must be clearly marked and readily accessible.</v>
      </c>
      <c r="E245" t="str">
        <f>'Hazardous Materials'!E31</f>
        <v>Select rating</v>
      </c>
      <c r="F245">
        <f>'Hazardous Materials'!F31</f>
        <v>0</v>
      </c>
      <c r="G245">
        <f>'Hazardous Materials'!G31</f>
        <v>6</v>
      </c>
      <c r="H245">
        <f>'Hazardous Materials'!H31</f>
        <v>0</v>
      </c>
      <c r="I245">
        <f>'Hazardous Materials'!I31</f>
        <v>0</v>
      </c>
      <c r="J245" t="str">
        <f>'Hazardous Materials'!J31</f>
        <v>29 CFR 1910.110(b)(19),(d)(14)</v>
      </c>
      <c r="K245">
        <f>IF('Hazardous Materials'!E31="Very High",5,IF('Hazardous Materials'!E31="High",4,IF('Hazardous Materials'!E31="Moderate",3,IF('Hazardous Materials'!E31="Low",2,IF('Hazardous Materials'!E31="Observation",1,0)))))</f>
        <v>0</v>
      </c>
      <c r="L245">
        <f>'Hazardous Materials'!K31</f>
        <v>0</v>
      </c>
    </row>
    <row r="246" spans="1:12" ht="15" customHeight="1" x14ac:dyDescent="0.45">
      <c r="A246" t="s">
        <v>175</v>
      </c>
      <c r="B246" t="str">
        <f>'Occ. Health &amp; Noise'!A19</f>
        <v>OH-1</v>
      </c>
      <c r="C246" t="str">
        <f>'Occ. Health &amp; Noise'!B19</f>
        <v>Industrial Ventilation</v>
      </c>
      <c r="D246" t="str">
        <f>'Occ. Health &amp; Noise'!C19</f>
        <v>Local exhaust ventilation (LEV) must be provided where dust, fumes, mist, vapors, or gases from grinding, abrasive blasting, spray finishing, or other processes create health or fire hazards. Ventilation systems must be designed to maintain contaminant levels below applicable PELs.</v>
      </c>
      <c r="E246" t="str">
        <f>'Occ. Health &amp; Noise'!E19</f>
        <v>Select rating</v>
      </c>
      <c r="F246">
        <f>'Occ. Health &amp; Noise'!F19</f>
        <v>0</v>
      </c>
      <c r="G246">
        <f>'Occ. Health &amp; Noise'!G19</f>
        <v>8</v>
      </c>
      <c r="H246">
        <f>'Occ. Health &amp; Noise'!H19</f>
        <v>0</v>
      </c>
      <c r="I246">
        <f>'Occ. Health &amp; Noise'!I19</f>
        <v>0</v>
      </c>
      <c r="J246" t="str">
        <f>'Occ. Health &amp; Noise'!J19</f>
        <v>29 CFR 1910.94(a)-(c)</v>
      </c>
      <c r="K246">
        <f>IF('Occ. Health &amp; Noise'!E19="Very High",5,IF('Occ. Health &amp; Noise'!E19="High",4,IF('Occ. Health &amp; Noise'!E19="Moderate",3,IF('Occ. Health &amp; Noise'!E19="Low",2,IF('Occ. Health &amp; Noise'!E19="Observation",1,0)))))</f>
        <v>0</v>
      </c>
      <c r="L246">
        <f>'Occ. Health &amp; Noise'!K19</f>
        <v>0</v>
      </c>
    </row>
    <row r="247" spans="1:12" ht="15" customHeight="1" x14ac:dyDescent="0.45">
      <c r="A247" t="s">
        <v>175</v>
      </c>
      <c r="B247" t="str">
        <f>'Occ. Health &amp; Noise'!A20</f>
        <v>OH-2</v>
      </c>
      <c r="C247" t="str">
        <f>'Occ. Health &amp; Noise'!B20</f>
        <v>Industrial Ventilation</v>
      </c>
      <c r="D247" t="str">
        <f>'Occ. Health &amp; Noise'!C20</f>
        <v>Exhaust ventilation systems must have suitable dust collectors or other cleaning devices to prevent discharge of dangerous concentrations of contaminants to the outdoor air or to areas where personnel are present. Dust collector hoppers must be emptied and cleaned at appropriate intervals.</v>
      </c>
      <c r="E247" t="str">
        <f>'Occ. Health &amp; Noise'!E20</f>
        <v>Select rating</v>
      </c>
      <c r="F247">
        <f>'Occ. Health &amp; Noise'!F20</f>
        <v>0</v>
      </c>
      <c r="G247">
        <f>'Occ. Health &amp; Noise'!G20</f>
        <v>8</v>
      </c>
      <c r="H247">
        <f>'Occ. Health &amp; Noise'!H20</f>
        <v>0</v>
      </c>
      <c r="I247">
        <f>'Occ. Health &amp; Noise'!I20</f>
        <v>0</v>
      </c>
      <c r="J247" t="str">
        <f>'Occ. Health &amp; Noise'!J20</f>
        <v>29 CFR 1910.94(a)(4)-(a)(5)</v>
      </c>
      <c r="K247">
        <f>IF('Occ. Health &amp; Noise'!E20="Very High",5,IF('Occ. Health &amp; Noise'!E20="High",4,IF('Occ. Health &amp; Noise'!E20="Moderate",3,IF('Occ. Health &amp; Noise'!E20="Low",2,IF('Occ. Health &amp; Noise'!E20="Observation",1,0)))))</f>
        <v>0</v>
      </c>
      <c r="L247">
        <f>'Occ. Health &amp; Noise'!K20</f>
        <v>0</v>
      </c>
    </row>
    <row r="248" spans="1:12" ht="15" customHeight="1" x14ac:dyDescent="0.45">
      <c r="A248" t="s">
        <v>175</v>
      </c>
      <c r="B248" t="str">
        <f>'Occ. Health &amp; Noise'!A21</f>
        <v>OH-3</v>
      </c>
      <c r="C248" t="str">
        <f>'Occ. Health &amp; Noise'!B21</f>
        <v>Industrial Ventilation</v>
      </c>
      <c r="D248" t="str">
        <f>'Occ. Health &amp; Noise'!C21</f>
        <v>Where spray finishing operations are conducted, they must be performed in a spray booth or spray room. The spray area must be ventilated, free of ignition sources, and equipped with appropriate fire protection.</v>
      </c>
      <c r="E248" t="str">
        <f>'Occ. Health &amp; Noise'!E21</f>
        <v>Select rating</v>
      </c>
      <c r="F248">
        <f>'Occ. Health &amp; Noise'!F21</f>
        <v>0</v>
      </c>
      <c r="G248">
        <f>'Occ. Health &amp; Noise'!G21</f>
        <v>6</v>
      </c>
      <c r="H248">
        <f>'Occ. Health &amp; Noise'!H21</f>
        <v>0</v>
      </c>
      <c r="I248">
        <f>'Occ. Health &amp; Noise'!I21</f>
        <v>0</v>
      </c>
      <c r="J248" t="str">
        <f>'Occ. Health &amp; Noise'!J21</f>
        <v>29 CFR 1910.94(c)(1)-(c)(9)</v>
      </c>
      <c r="K248">
        <f>IF('Occ. Health &amp; Noise'!E21="Very High",5,IF('Occ. Health &amp; Noise'!E21="High",4,IF('Occ. Health &amp; Noise'!E21="Moderate",3,IF('Occ. Health &amp; Noise'!E21="Low",2,IF('Occ. Health &amp; Noise'!E21="Observation",1,0)))))</f>
        <v>0</v>
      </c>
      <c r="L248">
        <f>'Occ. Health &amp; Noise'!K21</f>
        <v>0</v>
      </c>
    </row>
    <row r="249" spans="1:12" ht="15" customHeight="1" x14ac:dyDescent="0.45">
      <c r="A249" t="s">
        <v>175</v>
      </c>
      <c r="B249" t="str">
        <f>'Occ. Health &amp; Noise'!A23</f>
        <v>OH-4</v>
      </c>
      <c r="C249" t="str">
        <f>'Occ. Health &amp; Noise'!B23</f>
        <v>Hearing Conservation</v>
      </c>
      <c r="D249" t="str">
        <f>'Occ. Health &amp; Noise'!C23</f>
        <v>When employees are exposed to noise at or above an 8-hour time-weighted average (TWA) of 85 dBA (Action Level), the employer must implement a continuing, effective hearing conservation program (HCP).</v>
      </c>
      <c r="E249" t="str">
        <f>'Occ. Health &amp; Noise'!E23</f>
        <v>Select rating</v>
      </c>
      <c r="F249">
        <f>'Occ. Health &amp; Noise'!F23</f>
        <v>0</v>
      </c>
      <c r="G249">
        <f>'Occ. Health &amp; Noise'!G23</f>
        <v>10</v>
      </c>
      <c r="H249">
        <f>'Occ. Health &amp; Noise'!H23</f>
        <v>0</v>
      </c>
      <c r="I249">
        <f>'Occ. Health &amp; Noise'!I23</f>
        <v>0</v>
      </c>
      <c r="J249" t="str">
        <f>'Occ. Health &amp; Noise'!J23</f>
        <v>29 CFR 1910.95(c)(1)-(c)(2)</v>
      </c>
      <c r="K249">
        <f>IF('Occ. Health &amp; Noise'!E23="Very High",5,IF('Occ. Health &amp; Noise'!E23="High",4,IF('Occ. Health &amp; Noise'!E23="Moderate",3,IF('Occ. Health &amp; Noise'!E23="Low",2,IF('Occ. Health &amp; Noise'!E23="Observation",1,0)))))</f>
        <v>0</v>
      </c>
      <c r="L249">
        <f>'Occ. Health &amp; Noise'!K23</f>
        <v>0</v>
      </c>
    </row>
    <row r="250" spans="1:12" ht="15" customHeight="1" x14ac:dyDescent="0.45">
      <c r="A250" t="s">
        <v>175</v>
      </c>
      <c r="B250" t="str">
        <f>'Occ. Health &amp; Noise'!A24</f>
        <v>OH-5</v>
      </c>
      <c r="C250" t="str">
        <f>'Occ. Health &amp; Noise'!B24</f>
        <v>Hearing Conservation</v>
      </c>
      <c r="D250" t="str">
        <f>'Occ. Health &amp; Noise'!C24</f>
        <v>Noise monitoring must be conducted whenever there is indication that an employee's noise exposure may equal or exceed the 85 dBA action level. Monitoring results must be representative of employee noise exposures and must be repeated when production changes, process changes, or equipment changes may affect noise levels.</v>
      </c>
      <c r="E250" t="str">
        <f>'Occ. Health &amp; Noise'!E24</f>
        <v>Select rating</v>
      </c>
      <c r="F250">
        <f>'Occ. Health &amp; Noise'!F24</f>
        <v>0</v>
      </c>
      <c r="G250">
        <f>'Occ. Health &amp; Noise'!G24</f>
        <v>8</v>
      </c>
      <c r="H250">
        <f>'Occ. Health &amp; Noise'!H24</f>
        <v>0</v>
      </c>
      <c r="I250">
        <f>'Occ. Health &amp; Noise'!I24</f>
        <v>0</v>
      </c>
      <c r="J250" t="str">
        <f>'Occ. Health &amp; Noise'!J24</f>
        <v>29 CFR 1910.95(d)(1)-(d)(2)</v>
      </c>
      <c r="K250">
        <f>IF('Occ. Health &amp; Noise'!E24="Very High",5,IF('Occ. Health &amp; Noise'!E24="High",4,IF('Occ. Health &amp; Noise'!E24="Moderate",3,IF('Occ. Health &amp; Noise'!E24="Low",2,IF('Occ. Health &amp; Noise'!E24="Observation",1,0)))))</f>
        <v>0</v>
      </c>
      <c r="L250">
        <f>'Occ. Health &amp; Noise'!K24</f>
        <v>0</v>
      </c>
    </row>
    <row r="251" spans="1:12" ht="15" customHeight="1" x14ac:dyDescent="0.45">
      <c r="A251" t="s">
        <v>175</v>
      </c>
      <c r="B251" t="str">
        <f>'Occ. Health &amp; Noise'!A25</f>
        <v>OH-6</v>
      </c>
      <c r="C251" t="str">
        <f>'Occ. Health &amp; Noise'!B25</f>
        <v>Hearing Conservation</v>
      </c>
      <c r="D251" t="str">
        <f>'Occ. Health &amp; Noise'!C25</f>
        <v>Audiometric testing must be established and maintained for all employees whose noise exposures equal or exceed the 85 dBA action level. Tests must include a baseline audiogram within 6 months of first exposure and annual audiograms thereafter.</v>
      </c>
      <c r="E251" t="str">
        <f>'Occ. Health &amp; Noise'!E25</f>
        <v>Select rating</v>
      </c>
      <c r="F251">
        <f>'Occ. Health &amp; Noise'!F25</f>
        <v>0</v>
      </c>
      <c r="G251">
        <f>'Occ. Health &amp; Noise'!G25</f>
        <v>10</v>
      </c>
      <c r="H251">
        <f>'Occ. Health &amp; Noise'!H25</f>
        <v>0</v>
      </c>
      <c r="I251">
        <f>'Occ. Health &amp; Noise'!I25</f>
        <v>0</v>
      </c>
      <c r="J251" t="str">
        <f>'Occ. Health &amp; Noise'!J25</f>
        <v>29 CFR 1910.95(g)(1)-(g)(9)</v>
      </c>
      <c r="K251">
        <f>IF('Occ. Health &amp; Noise'!E25="Very High",5,IF('Occ. Health &amp; Noise'!E25="High",4,IF('Occ. Health &amp; Noise'!E25="Moderate",3,IF('Occ. Health &amp; Noise'!E25="Low",2,IF('Occ. Health &amp; Noise'!E25="Observation",1,0)))))</f>
        <v>0</v>
      </c>
      <c r="L251">
        <f>'Occ. Health &amp; Noise'!K25</f>
        <v>0</v>
      </c>
    </row>
    <row r="252" spans="1:12" ht="15" customHeight="1" x14ac:dyDescent="0.45">
      <c r="A252" t="s">
        <v>175</v>
      </c>
      <c r="B252" t="str">
        <f>'Occ. Health &amp; Noise'!A26</f>
        <v>OH-7</v>
      </c>
      <c r="C252" t="str">
        <f>'Occ. Health &amp; Noise'!B26</f>
        <v>Hearing Conservation</v>
      </c>
      <c r="D252" t="str">
        <f>'Occ. Health &amp; Noise'!C26</f>
        <v>When an audiogram reveals a Standard Threshold Shift (STS) — an average change in hearing threshold of 10 dB or more at 2000, 3000, and 4000 Hz — follow-up steps must be taken: retest within 30 days; refer to audiologist if the shift is persistent; fit with hearing protectors if not already using them; re-evaluate the hearing protectors if already being used.</v>
      </c>
      <c r="E252" t="str">
        <f>'Occ. Health &amp; Noise'!E26</f>
        <v>Select rating</v>
      </c>
      <c r="F252">
        <f>'Occ. Health &amp; Noise'!F26</f>
        <v>0</v>
      </c>
      <c r="G252">
        <f>'Occ. Health &amp; Noise'!G26</f>
        <v>8</v>
      </c>
      <c r="H252">
        <f>'Occ. Health &amp; Noise'!H26</f>
        <v>0</v>
      </c>
      <c r="I252">
        <f>'Occ. Health &amp; Noise'!I26</f>
        <v>0</v>
      </c>
      <c r="J252" t="str">
        <f>'Occ. Health &amp; Noise'!J26</f>
        <v>29 CFR 1910.95(g)(7)-(g)(9)</v>
      </c>
      <c r="K252">
        <f>IF('Occ. Health &amp; Noise'!E26="Very High",5,IF('Occ. Health &amp; Noise'!E26="High",4,IF('Occ. Health &amp; Noise'!E26="Moderate",3,IF('Occ. Health &amp; Noise'!E26="Low",2,IF('Occ. Health &amp; Noise'!E26="Observation",1,0)))))</f>
        <v>0</v>
      </c>
      <c r="L252">
        <f>'Occ. Health &amp; Noise'!K26</f>
        <v>0</v>
      </c>
    </row>
    <row r="253" spans="1:12" ht="15" customHeight="1" x14ac:dyDescent="0.45">
      <c r="A253" t="s">
        <v>175</v>
      </c>
      <c r="B253" t="str">
        <f>'Occ. Health &amp; Noise'!A27</f>
        <v>OH-8</v>
      </c>
      <c r="C253" t="str">
        <f>'Occ. Health &amp; Noise'!B27</f>
        <v>Hearing Conservation</v>
      </c>
      <c r="D253" t="str">
        <f>'Occ. Health &amp; Noise'!C27</f>
        <v>Hearing protectors must be made available at no cost to all employees exposed at or above the action level (85 dBA TWA). Employees exposed at or above the PEL (90 dBA TWA) must use hearing protectors. Hearing protectors must provide adequate attenuation for the noise level.</v>
      </c>
      <c r="E253" t="str">
        <f>'Occ. Health &amp; Noise'!E27</f>
        <v>Select rating</v>
      </c>
      <c r="F253">
        <f>'Occ. Health &amp; Noise'!F27</f>
        <v>0</v>
      </c>
      <c r="G253">
        <f>'Occ. Health &amp; Noise'!G27</f>
        <v>8</v>
      </c>
      <c r="H253">
        <f>'Occ. Health &amp; Noise'!H27</f>
        <v>0</v>
      </c>
      <c r="I253">
        <f>'Occ. Health &amp; Noise'!I27</f>
        <v>0</v>
      </c>
      <c r="J253" t="str">
        <f>'Occ. Health &amp; Noise'!J27</f>
        <v>29 CFR 1910.95(i)(1)-(i)(3)</v>
      </c>
      <c r="K253">
        <f>IF('Occ. Health &amp; Noise'!E27="Very High",5,IF('Occ. Health &amp; Noise'!E27="High",4,IF('Occ. Health &amp; Noise'!E27="Moderate",3,IF('Occ. Health &amp; Noise'!E27="Low",2,IF('Occ. Health &amp; Noise'!E27="Observation",1,0)))))</f>
        <v>0</v>
      </c>
      <c r="L253">
        <f>'Occ. Health &amp; Noise'!K27</f>
        <v>0</v>
      </c>
    </row>
    <row r="254" spans="1:12" ht="15" customHeight="1" x14ac:dyDescent="0.45">
      <c r="A254" t="s">
        <v>175</v>
      </c>
      <c r="B254" t="str">
        <f>'Occ. Health &amp; Noise'!A28</f>
        <v>OH-9</v>
      </c>
      <c r="C254" t="str">
        <f>'Occ. Health &amp; Noise'!B28</f>
        <v>Hearing Conservation</v>
      </c>
      <c r="D254" t="str">
        <f>'Occ. Health &amp; Noise'!C28</f>
        <v>A training program must be established for each employee whose exposures equal or exceed the 85 dBA action level. Training must be conducted annually and must cover: the effects of noise on hearing; the purpose, advantages, and limitations of hearing protectors; the purpose of audiometric testing; and the requirements of the standard.</v>
      </c>
      <c r="E254" t="str">
        <f>'Occ. Health &amp; Noise'!E28</f>
        <v>Select rating</v>
      </c>
      <c r="F254">
        <f>'Occ. Health &amp; Noise'!F28</f>
        <v>0</v>
      </c>
      <c r="G254">
        <f>'Occ. Health &amp; Noise'!G28</f>
        <v>8</v>
      </c>
      <c r="H254">
        <f>'Occ. Health &amp; Noise'!H28</f>
        <v>0</v>
      </c>
      <c r="I254">
        <f>'Occ. Health &amp; Noise'!I28</f>
        <v>0</v>
      </c>
      <c r="J254" t="str">
        <f>'Occ. Health &amp; Noise'!J28</f>
        <v>29 CFR 1910.95(k)(1)-(k)(3)</v>
      </c>
      <c r="K254">
        <f>IF('Occ. Health &amp; Noise'!E28="Very High",5,IF('Occ. Health &amp; Noise'!E28="High",4,IF('Occ. Health &amp; Noise'!E28="Moderate",3,IF('Occ. Health &amp; Noise'!E28="Low",2,IF('Occ. Health &amp; Noise'!E28="Observation",1,0)))))</f>
        <v>0</v>
      </c>
      <c r="L254">
        <f>'Occ. Health &amp; Noise'!K28</f>
        <v>0</v>
      </c>
    </row>
    <row r="255" spans="1:12" ht="15" customHeight="1" x14ac:dyDescent="0.45">
      <c r="A255" t="s">
        <v>175</v>
      </c>
      <c r="B255" t="str">
        <f>'Occ. Health &amp; Noise'!A29</f>
        <v>OH-10</v>
      </c>
      <c r="C255" t="str">
        <f>'Occ. Health &amp; Noise'!B29</f>
        <v>Hearing Conservation</v>
      </c>
      <c r="D255" t="str">
        <f>'Occ. Health &amp; Noise'!C29</f>
        <v>Noise exposure monitoring records, audiometric test results, background sound pressure levels used for audiometric testing, and hearing conservation program records must be retained for the duration of the employee's employment plus 3 years. Audiometric test results are retained for the duration of employment.</v>
      </c>
      <c r="E255" t="str">
        <f>'Occ. Health &amp; Noise'!E29</f>
        <v>Select rating</v>
      </c>
      <c r="F255">
        <f>'Occ. Health &amp; Noise'!F29</f>
        <v>0</v>
      </c>
      <c r="G255">
        <f>'Occ. Health &amp; Noise'!G29</f>
        <v>6</v>
      </c>
      <c r="H255">
        <f>'Occ. Health &amp; Noise'!H29</f>
        <v>0</v>
      </c>
      <c r="I255">
        <f>'Occ. Health &amp; Noise'!I29</f>
        <v>0</v>
      </c>
      <c r="J255" t="str">
        <f>'Occ. Health &amp; Noise'!J29</f>
        <v>29 CFR 1910.95(m)(1)-(m)(3)</v>
      </c>
      <c r="K255">
        <f>IF('Occ. Health &amp; Noise'!E29="Very High",5,IF('Occ. Health &amp; Noise'!E29="High",4,IF('Occ. Health &amp; Noise'!E29="Moderate",3,IF('Occ. Health &amp; Noise'!E29="Low",2,IF('Occ. Health &amp; Noise'!E29="Observation",1,0)))))</f>
        <v>0</v>
      </c>
      <c r="L255">
        <f>'Occ. Health &amp; Noise'!K29</f>
        <v>0</v>
      </c>
    </row>
    <row r="256" spans="1:12" ht="15" customHeight="1" x14ac:dyDescent="0.45">
      <c r="A256" t="s">
        <v>176</v>
      </c>
      <c r="B256" t="str">
        <f>'Medical &amp; First Aid'!A19</f>
        <v>MA-1</v>
      </c>
      <c r="C256" t="str">
        <f>'Medical &amp; First Aid'!B19</f>
        <v>Medical Personnel &amp; First Aid</v>
      </c>
      <c r="D256" t="str">
        <f>'Medical &amp; First Aid'!C19</f>
        <v>Medical personnel must be available to provide advice and consultation on matters of occupational health. At a minimum, the employer must have a formal relationship (physician, occupational health clinic, or licensed health professional) for referral and consultation.</v>
      </c>
      <c r="E256" t="str">
        <f>'Medical &amp; First Aid'!E19</f>
        <v>Select rating</v>
      </c>
      <c r="F256">
        <f>'Medical &amp; First Aid'!F19</f>
        <v>0</v>
      </c>
      <c r="G256">
        <f>'Medical &amp; First Aid'!G19</f>
        <v>6</v>
      </c>
      <c r="H256">
        <f>'Medical &amp; First Aid'!H19</f>
        <v>0</v>
      </c>
      <c r="I256">
        <f>'Medical &amp; First Aid'!I19</f>
        <v>0</v>
      </c>
      <c r="J256" t="str">
        <f>'Medical &amp; First Aid'!J19</f>
        <v>29 CFR 1910.151(a)</v>
      </c>
      <c r="K256">
        <f>IF('Medical &amp; First Aid'!E19="Very High",5,IF('Medical &amp; First Aid'!E19="High",4,IF('Medical &amp; First Aid'!E19="Moderate",3,IF('Medical &amp; First Aid'!E19="Low",2,IF('Medical &amp; First Aid'!E19="Observation",1,0)))))</f>
        <v>0</v>
      </c>
      <c r="L256">
        <f>'Medical &amp; First Aid'!K19</f>
        <v>0</v>
      </c>
    </row>
    <row r="257" spans="1:12" ht="15" customHeight="1" x14ac:dyDescent="0.45">
      <c r="A257" t="s">
        <v>176</v>
      </c>
      <c r="B257" t="str">
        <f>'Medical &amp; First Aid'!A20</f>
        <v>MA-2</v>
      </c>
      <c r="C257" t="str">
        <f>'Medical &amp; First Aid'!B20</f>
        <v>Medical Personnel &amp; First Aid</v>
      </c>
      <c r="D257" t="str">
        <f>'Medical &amp; First Aid'!C20</f>
        <v>In the absence of an infirmary, clinic, or hospital near the workplace that can be used for the treatment of injured employees, a person or persons must be adequately trained to render first aid. Adequate first aid supplies must be maintained and readily available.</v>
      </c>
      <c r="E257" t="str">
        <f>'Medical &amp; First Aid'!E20</f>
        <v>Select rating</v>
      </c>
      <c r="F257">
        <f>'Medical &amp; First Aid'!F20</f>
        <v>0</v>
      </c>
      <c r="G257">
        <f>'Medical &amp; First Aid'!G20</f>
        <v>10</v>
      </c>
      <c r="H257">
        <f>'Medical &amp; First Aid'!H20</f>
        <v>0</v>
      </c>
      <c r="I257">
        <f>'Medical &amp; First Aid'!I20</f>
        <v>0</v>
      </c>
      <c r="J257" t="str">
        <f>'Medical &amp; First Aid'!J20</f>
        <v>29 CFR 1910.151(b)</v>
      </c>
      <c r="K257">
        <f>IF('Medical &amp; First Aid'!E20="Very High",5,IF('Medical &amp; First Aid'!E20="High",4,IF('Medical &amp; First Aid'!E20="Moderate",3,IF('Medical &amp; First Aid'!E20="Low",2,IF('Medical &amp; First Aid'!E20="Observation",1,0)))))</f>
        <v>0</v>
      </c>
      <c r="L257">
        <f>'Medical &amp; First Aid'!K20</f>
        <v>0</v>
      </c>
    </row>
    <row r="258" spans="1:12" ht="15" customHeight="1" x14ac:dyDescent="0.45">
      <c r="A258" t="s">
        <v>176</v>
      </c>
      <c r="B258" t="str">
        <f>'Medical &amp; First Aid'!A21</f>
        <v>MA-3</v>
      </c>
      <c r="C258" t="str">
        <f>'Medical &amp; First Aid'!B21</f>
        <v>Medical Personnel &amp; First Aid</v>
      </c>
      <c r="D258" t="str">
        <f>'Medical &amp; First Aid'!C21</f>
        <v>First aid kits must be adequate for the hazards present at the facility. Contents must be tailored to the types of injuries that could occur and must be replaced after use. The kit must be inspected regularly.</v>
      </c>
      <c r="E258" t="str">
        <f>'Medical &amp; First Aid'!E21</f>
        <v>Select rating</v>
      </c>
      <c r="F258">
        <f>'Medical &amp; First Aid'!F21</f>
        <v>0</v>
      </c>
      <c r="G258">
        <f>'Medical &amp; First Aid'!G21</f>
        <v>8</v>
      </c>
      <c r="H258">
        <f>'Medical &amp; First Aid'!H21</f>
        <v>0</v>
      </c>
      <c r="I258">
        <f>'Medical &amp; First Aid'!I21</f>
        <v>0</v>
      </c>
      <c r="J258" t="str">
        <f>'Medical &amp; First Aid'!J21</f>
        <v>ANSI Z308.1; 29 CFR 1910.151(b)</v>
      </c>
      <c r="K258">
        <f>IF('Medical &amp; First Aid'!E21="Very High",5,IF('Medical &amp; First Aid'!E21="High",4,IF('Medical &amp; First Aid'!E21="Moderate",3,IF('Medical &amp; First Aid'!E21="Low",2,IF('Medical &amp; First Aid'!E21="Observation",1,0)))))</f>
        <v>0</v>
      </c>
      <c r="L258">
        <f>'Medical &amp; First Aid'!K21</f>
        <v>0</v>
      </c>
    </row>
    <row r="259" spans="1:12" ht="15" customHeight="1" x14ac:dyDescent="0.45">
      <c r="A259" t="s">
        <v>176</v>
      </c>
      <c r="B259" t="str">
        <f>'Medical &amp; First Aid'!A23</f>
        <v>MA-4</v>
      </c>
      <c r="C259" t="str">
        <f>'Medical &amp; First Aid'!B23</f>
        <v>Emergency Eyewash &amp; Shower Equipment</v>
      </c>
      <c r="D259" t="str">
        <f>'Medical &amp; First Aid'!C23</f>
        <v>Where the eyes or body of any person may be exposed to injurious corrosive materials, suitable facilities for quick drenching or flushing of the eyes and body must be provided within the work area for immediate emergency use.</v>
      </c>
      <c r="E259" t="str">
        <f>'Medical &amp; First Aid'!E23</f>
        <v>Select rating</v>
      </c>
      <c r="F259">
        <f>'Medical &amp; First Aid'!F23</f>
        <v>0</v>
      </c>
      <c r="G259">
        <f>'Medical &amp; First Aid'!G23</f>
        <v>10</v>
      </c>
      <c r="H259">
        <f>'Medical &amp; First Aid'!H23</f>
        <v>0</v>
      </c>
      <c r="I259">
        <f>'Medical &amp; First Aid'!I23</f>
        <v>0</v>
      </c>
      <c r="J259" t="str">
        <f>'Medical &amp; First Aid'!J23</f>
        <v>29 CFR 1910.151(c); ANSI Z358.1-2014</v>
      </c>
      <c r="K259">
        <f>IF('Medical &amp; First Aid'!E23="Very High",5,IF('Medical &amp; First Aid'!E23="High",4,IF('Medical &amp; First Aid'!E23="Moderate",3,IF('Medical &amp; First Aid'!E23="Low",2,IF('Medical &amp; First Aid'!E23="Observation",1,0)))))</f>
        <v>0</v>
      </c>
      <c r="L259">
        <f>'Medical &amp; First Aid'!K23</f>
        <v>0</v>
      </c>
    </row>
    <row r="260" spans="1:12" ht="15" customHeight="1" x14ac:dyDescent="0.45">
      <c r="A260" t="s">
        <v>176</v>
      </c>
      <c r="B260" t="str">
        <f>'Medical &amp; First Aid'!A24</f>
        <v>MA-5</v>
      </c>
      <c r="C260" t="str">
        <f>'Medical &amp; First Aid'!B24</f>
        <v>Emergency Eyewash &amp; Shower Equipment</v>
      </c>
      <c r="D260" t="str">
        <f>'Medical &amp; First Aid'!C24</f>
        <v>Emergency eyewash and shower units must be located on the same level as the hazard, with an unobstructed path requiring no more than 10 seconds of travel (approximately 55 feet for walking speed). Units must be in areas that are well-lit and conspicuously identified with a highly visible sign.</v>
      </c>
      <c r="E260" t="str">
        <f>'Medical &amp; First Aid'!E24</f>
        <v>Select rating</v>
      </c>
      <c r="F260">
        <f>'Medical &amp; First Aid'!F24</f>
        <v>0</v>
      </c>
      <c r="G260">
        <f>'Medical &amp; First Aid'!G24</f>
        <v>8</v>
      </c>
      <c r="H260">
        <f>'Medical &amp; First Aid'!H24</f>
        <v>0</v>
      </c>
      <c r="I260">
        <f>'Medical &amp; First Aid'!I24</f>
        <v>0</v>
      </c>
      <c r="J260" t="str">
        <f>'Medical &amp; First Aid'!J24</f>
        <v>ANSI Z358.1-2014 4.4, 4.5, 4.6.2</v>
      </c>
      <c r="K260">
        <f>IF('Medical &amp; First Aid'!E24="Very High",5,IF('Medical &amp; First Aid'!E24="High",4,IF('Medical &amp; First Aid'!E24="Moderate",3,IF('Medical &amp; First Aid'!E24="Low",2,IF('Medical &amp; First Aid'!E24="Observation",1,0)))))</f>
        <v>0</v>
      </c>
      <c r="L260">
        <f>'Medical &amp; First Aid'!K24</f>
        <v>0</v>
      </c>
    </row>
    <row r="261" spans="1:12" ht="15" customHeight="1" x14ac:dyDescent="0.45">
      <c r="A261" t="s">
        <v>176</v>
      </c>
      <c r="B261" t="str">
        <f>'Medical &amp; First Aid'!A25</f>
        <v>MA-6</v>
      </c>
      <c r="C261" t="str">
        <f>'Medical &amp; First Aid'!B25</f>
        <v>Emergency Eyewash &amp; Shower Equipment</v>
      </c>
      <c r="D261" t="str">
        <f>'Medical &amp; First Aid'!C25</f>
        <v>Eyewash units must deliver tepid flushing fluid (60-100°F / 15.5-37.8°C) at a minimum flow rate of 0.4 gallons per minute for at least 15 minutes. Safety showers must deliver tepid water at a minimum of 20 gallons per minute for at least 15 minutes. Gravity-fed units and self-contained units must have sufficient fluid capacity.</v>
      </c>
      <c r="E261" t="str">
        <f>'Medical &amp; First Aid'!E25</f>
        <v>Select rating</v>
      </c>
      <c r="F261">
        <f>'Medical &amp; First Aid'!F25</f>
        <v>0</v>
      </c>
      <c r="G261">
        <f>'Medical &amp; First Aid'!G25</f>
        <v>10</v>
      </c>
      <c r="H261">
        <f>'Medical &amp; First Aid'!H25</f>
        <v>0</v>
      </c>
      <c r="I261">
        <f>'Medical &amp; First Aid'!I25</f>
        <v>0</v>
      </c>
      <c r="J261" t="str">
        <f>'Medical &amp; First Aid'!J25</f>
        <v>ANSI Z358.1-2014 5.4.4, 5.5.5</v>
      </c>
      <c r="K261">
        <f>IF('Medical &amp; First Aid'!E25="Very High",5,IF('Medical &amp; First Aid'!E25="High",4,IF('Medical &amp; First Aid'!E25="Moderate",3,IF('Medical &amp; First Aid'!E25="Low",2,IF('Medical &amp; First Aid'!E25="Observation",1,0)))))</f>
        <v>0</v>
      </c>
      <c r="L261">
        <f>'Medical &amp; First Aid'!K25</f>
        <v>0</v>
      </c>
    </row>
    <row r="262" spans="1:12" ht="15" customHeight="1" x14ac:dyDescent="0.45">
      <c r="A262" t="s">
        <v>176</v>
      </c>
      <c r="B262" t="str">
        <f>'Medical &amp; First Aid'!A26</f>
        <v>MA-7</v>
      </c>
      <c r="C262" t="str">
        <f>'Medical &amp; First Aid'!B26</f>
        <v>Emergency Eyewash &amp; Shower Equipment</v>
      </c>
      <c r="D262" t="str">
        <f>'Medical &amp; First Aid'!C26</f>
        <v>Emergency eyewash and shower equipment must be activated weekly to verify proper operation and to flush the supply line. Annual inspections must be performed by a qualified person. Self-contained units must be checked to ensure adequate fluid supply and the fluid is not contaminated.</v>
      </c>
      <c r="E262" t="str">
        <f>'Medical &amp; First Aid'!E26</f>
        <v>Select rating</v>
      </c>
      <c r="F262">
        <f>'Medical &amp; First Aid'!F26</f>
        <v>0</v>
      </c>
      <c r="G262">
        <f>'Medical &amp; First Aid'!G26</f>
        <v>8</v>
      </c>
      <c r="H262">
        <f>'Medical &amp; First Aid'!H26</f>
        <v>0</v>
      </c>
      <c r="I262">
        <f>'Medical &amp; First Aid'!I26</f>
        <v>0</v>
      </c>
      <c r="J262" t="str">
        <f>'Medical &amp; First Aid'!J26</f>
        <v>ANSI Z358.1-2014 4.6.1, 4.6.3</v>
      </c>
      <c r="K262">
        <f>IF('Medical &amp; First Aid'!E26="Very High",5,IF('Medical &amp; First Aid'!E26="High",4,IF('Medical &amp; First Aid'!E26="Moderate",3,IF('Medical &amp; First Aid'!E26="Low",2,IF('Medical &amp; First Aid'!E26="Observation",1,0)))))</f>
        <v>0</v>
      </c>
      <c r="L262">
        <f>'Medical &amp; First Aid'!K26</f>
        <v>0</v>
      </c>
    </row>
    <row r="263" spans="1:12" ht="15" customHeight="1" x14ac:dyDescent="0.45">
      <c r="A263" t="s">
        <v>176</v>
      </c>
      <c r="B263" t="str">
        <f>'Medical &amp; First Aid'!A27</f>
        <v>MA-8</v>
      </c>
      <c r="C263" t="str">
        <f>'Medical &amp; First Aid'!B27</f>
        <v>Emergency Eyewash &amp; Shower Equipment</v>
      </c>
      <c r="D263" t="str">
        <f>'Medical &amp; First Aid'!C27</f>
        <v>Employees who may be exposed to corrosive materials must be trained on the location and proper use of emergency eyewash and shower equipment and on the 15-minute flushing requirement.</v>
      </c>
      <c r="E263" t="str">
        <f>'Medical &amp; First Aid'!E27</f>
        <v>Select rating</v>
      </c>
      <c r="F263">
        <f>'Medical &amp; First Aid'!F27</f>
        <v>0</v>
      </c>
      <c r="G263">
        <f>'Medical &amp; First Aid'!G27</f>
        <v>8</v>
      </c>
      <c r="H263">
        <f>'Medical &amp; First Aid'!H27</f>
        <v>0</v>
      </c>
      <c r="I263">
        <f>'Medical &amp; First Aid'!I27</f>
        <v>0</v>
      </c>
      <c r="J263" t="str">
        <f>'Medical &amp; First Aid'!J27</f>
        <v>ANSI Z358.1-2014 4.6.1</v>
      </c>
      <c r="K263">
        <f>IF('Medical &amp; First Aid'!E27="Very High",5,IF('Medical &amp; First Aid'!E27="High",4,IF('Medical &amp; First Aid'!E27="Moderate",3,IF('Medical &amp; First Aid'!E27="Low",2,IF('Medical &amp; First Aid'!E27="Observation",1,0)))))</f>
        <v>0</v>
      </c>
      <c r="L263">
        <f>'Medical &amp; First Aid'!K27</f>
        <v>0</v>
      </c>
    </row>
    <row r="264" spans="1:12" ht="15" customHeight="1" x14ac:dyDescent="0.45">
      <c r="A264" t="s">
        <v>177</v>
      </c>
      <c r="B264" t="str">
        <f>'Welding &amp; Hot Work'!A19</f>
        <v>WC-1</v>
      </c>
      <c r="C264" t="str">
        <f>'Welding &amp; Hot Work'!B19</f>
        <v>Hot Work Program &amp; Fire Prevention</v>
      </c>
      <c r="D264" t="str">
        <f>'Welding &amp; Hot Work'!C19</f>
        <v>Cutting and welding operations must be authorized by a designated management representative. The authorizing person must inspect the area before work begins, confirm fire prevention measures are in place, and ensure work is only performed in authorized locations.</v>
      </c>
      <c r="E264" t="str">
        <f>'Welding &amp; Hot Work'!E19</f>
        <v>Select rating</v>
      </c>
      <c r="F264">
        <f>'Welding &amp; Hot Work'!F19</f>
        <v>0</v>
      </c>
      <c r="G264">
        <f>'Welding &amp; Hot Work'!G19</f>
        <v>10</v>
      </c>
      <c r="H264">
        <f>'Welding &amp; Hot Work'!H19</f>
        <v>0</v>
      </c>
      <c r="I264">
        <f>'Welding &amp; Hot Work'!I19</f>
        <v>0</v>
      </c>
      <c r="J264" t="str">
        <f>'Welding &amp; Hot Work'!J19</f>
        <v>29 CFR 1910.252(a)(2)(xiv)-(a)(2)(xv)</v>
      </c>
      <c r="K264">
        <f>IF('Welding &amp; Hot Work'!E19="Very High",5,IF('Welding &amp; Hot Work'!E19="High",4,IF('Welding &amp; Hot Work'!E19="Moderate",3,IF('Welding &amp; Hot Work'!E19="Low",2,IF('Welding &amp; Hot Work'!E19="Observation",1,0)))))</f>
        <v>0</v>
      </c>
      <c r="L264">
        <f>'Welding &amp; Hot Work'!K19</f>
        <v>0</v>
      </c>
    </row>
    <row r="265" spans="1:12" ht="15" customHeight="1" x14ac:dyDescent="0.45">
      <c r="A265" t="s">
        <v>177</v>
      </c>
      <c r="B265" t="str">
        <f>'Welding &amp; Hot Work'!A20</f>
        <v>WC-2</v>
      </c>
      <c r="C265" t="str">
        <f>'Welding &amp; Hot Work'!B20</f>
        <v>Hot Work Program &amp; Fire Prevention</v>
      </c>
      <c r="D265" t="str">
        <f>'Welding &amp; Hot Work'!C20</f>
        <v>Fire watchers must be assigned whenever welding or cutting is performed near combustible materials that cannot be moved. The fire watcher must maintain watch during and for at least 30 minutes after welding/cutting is complete. Fire watchers must be trained in use of fire extinguishing equipment and in activating the facility alarm.</v>
      </c>
      <c r="E265" t="str">
        <f>'Welding &amp; Hot Work'!E20</f>
        <v>Select rating</v>
      </c>
      <c r="F265">
        <f>'Welding &amp; Hot Work'!F20</f>
        <v>0</v>
      </c>
      <c r="G265">
        <f>'Welding &amp; Hot Work'!G20</f>
        <v>8</v>
      </c>
      <c r="H265">
        <f>'Welding &amp; Hot Work'!H20</f>
        <v>0</v>
      </c>
      <c r="I265">
        <f>'Welding &amp; Hot Work'!I20</f>
        <v>0</v>
      </c>
      <c r="J265" t="str">
        <f>'Welding &amp; Hot Work'!J20</f>
        <v>29 CFR 1910.252(a)(2)(ii)-(a)(2)(v)</v>
      </c>
      <c r="K265">
        <f>IF('Welding &amp; Hot Work'!E20="Very High",5,IF('Welding &amp; Hot Work'!E20="High",4,IF('Welding &amp; Hot Work'!E20="Moderate",3,IF('Welding &amp; Hot Work'!E20="Low",2,IF('Welding &amp; Hot Work'!E20="Observation",1,0)))))</f>
        <v>0</v>
      </c>
      <c r="L265">
        <f>'Welding &amp; Hot Work'!K20</f>
        <v>0</v>
      </c>
    </row>
    <row r="266" spans="1:12" ht="15" customHeight="1" x14ac:dyDescent="0.45">
      <c r="A266" t="s">
        <v>177</v>
      </c>
      <c r="B266" t="str">
        <f>'Welding &amp; Hot Work'!A21</f>
        <v>WC-3</v>
      </c>
      <c r="C266" t="str">
        <f>'Welding &amp; Hot Work'!B21</f>
        <v>Hot Work Program &amp; Fire Prevention</v>
      </c>
      <c r="D266" t="str">
        <f>'Welding &amp; Hot Work'!C21</f>
        <v>Welding, cutting, or heating must not be performed on or near containers that held flammable substances, on drums or tanks with unknown contents, in areas with explosive atmospheres, or on pipes or systems that contain or carried flammable gases or liquids — unless specific cleaning and testing procedures have been completed.</v>
      </c>
      <c r="E266" t="str">
        <f>'Welding &amp; Hot Work'!E21</f>
        <v>Select rating</v>
      </c>
      <c r="F266">
        <f>'Welding &amp; Hot Work'!F21</f>
        <v>0</v>
      </c>
      <c r="G266">
        <f>'Welding &amp; Hot Work'!G21</f>
        <v>8</v>
      </c>
      <c r="H266">
        <f>'Welding &amp; Hot Work'!H21</f>
        <v>0</v>
      </c>
      <c r="I266">
        <f>'Welding &amp; Hot Work'!I21</f>
        <v>0</v>
      </c>
      <c r="J266" t="str">
        <f>'Welding &amp; Hot Work'!J21</f>
        <v>29 CFR 1910.252(a)(2)(vii)-(a)(2)(xii),(a)(3)</v>
      </c>
      <c r="K266">
        <f>IF('Welding &amp; Hot Work'!E21="Very High",5,IF('Welding &amp; Hot Work'!E21="High",4,IF('Welding &amp; Hot Work'!E21="Moderate",3,IF('Welding &amp; Hot Work'!E21="Low",2,IF('Welding &amp; Hot Work'!E21="Observation",1,0)))))</f>
        <v>0</v>
      </c>
      <c r="L266">
        <f>'Welding &amp; Hot Work'!K21</f>
        <v>0</v>
      </c>
    </row>
    <row r="267" spans="1:12" ht="15" customHeight="1" x14ac:dyDescent="0.45">
      <c r="A267" t="s">
        <v>177</v>
      </c>
      <c r="B267" t="str">
        <f>'Welding &amp; Hot Work'!A22</f>
        <v>WC-4</v>
      </c>
      <c r="C267" t="str">
        <f>'Welding &amp; Hot Work'!B22</f>
        <v>Hot Work Program &amp; Fire Prevention</v>
      </c>
      <c r="D267" t="str">
        <f>'Welding &amp; Hot Work'!C22</f>
        <v>Suitable fire extinguishing equipment must be maintained for immediate use whenever welding or cutting is performed. Ducts, conveyor systems, and other equipment that might carry sparks or slag must be protected or shut down before welding begins.</v>
      </c>
      <c r="E267" t="str">
        <f>'Welding &amp; Hot Work'!E22</f>
        <v>Select rating</v>
      </c>
      <c r="F267">
        <f>'Welding &amp; Hot Work'!F22</f>
        <v>0</v>
      </c>
      <c r="G267">
        <f>'Welding &amp; Hot Work'!G22</f>
        <v>6</v>
      </c>
      <c r="H267">
        <f>'Welding &amp; Hot Work'!H22</f>
        <v>0</v>
      </c>
      <c r="I267">
        <f>'Welding &amp; Hot Work'!I22</f>
        <v>0</v>
      </c>
      <c r="J267" t="str">
        <f>'Welding &amp; Hot Work'!J22</f>
        <v>29 CFR 1910.252(a)(2)(i),(a)(2)(x)</v>
      </c>
      <c r="K267">
        <f>IF('Welding &amp; Hot Work'!E22="Very High",5,IF('Welding &amp; Hot Work'!E22="High",4,IF('Welding &amp; Hot Work'!E22="Moderate",3,IF('Welding &amp; Hot Work'!E22="Low",2,IF('Welding &amp; Hot Work'!E22="Observation",1,0)))))</f>
        <v>0</v>
      </c>
      <c r="L267">
        <f>'Welding &amp; Hot Work'!K22</f>
        <v>0</v>
      </c>
    </row>
    <row r="268" spans="1:12" ht="15" customHeight="1" x14ac:dyDescent="0.45">
      <c r="A268" t="s">
        <v>177</v>
      </c>
      <c r="B268" t="str">
        <f>'Welding &amp; Hot Work'!A24</f>
        <v>WC-5</v>
      </c>
      <c r="C268" t="str">
        <f>'Welding &amp; Hot Work'!B24</f>
        <v>Welding PPE &amp; Health Protection</v>
      </c>
      <c r="D268" t="str">
        <f>'Welding &amp; Hot Work'!C24</f>
        <v>Welders and helpers must be equipped with proper eye and face protection. Filter lens shade numbers must be appropriate for the welding or cutting process. Appropriate shades: SMAW 60-160A = shade 10; SMAW 160-250A = shade 12; MIG = shade 10-13; gas welding/brazing = shade 4-8; oxygen cutting = shade 3-6.</v>
      </c>
      <c r="E268" t="str">
        <f>'Welding &amp; Hot Work'!E24</f>
        <v>Select rating</v>
      </c>
      <c r="F268">
        <f>'Welding &amp; Hot Work'!F24</f>
        <v>0</v>
      </c>
      <c r="G268">
        <f>'Welding &amp; Hot Work'!G24</f>
        <v>8</v>
      </c>
      <c r="H268">
        <f>'Welding &amp; Hot Work'!H24</f>
        <v>0</v>
      </c>
      <c r="I268">
        <f>'Welding &amp; Hot Work'!I24</f>
        <v>0</v>
      </c>
      <c r="J268" t="str">
        <f>'Welding &amp; Hot Work'!J24</f>
        <v>29 CFR 1910.252(b)(2)(i)-(b)(2)(iii)</v>
      </c>
      <c r="K268">
        <f>IF('Welding &amp; Hot Work'!E24="Very High",5,IF('Welding &amp; Hot Work'!E24="High",4,IF('Welding &amp; Hot Work'!E24="Moderate",3,IF('Welding &amp; Hot Work'!E24="Low",2,IF('Welding &amp; Hot Work'!E24="Observation",1,0)))))</f>
        <v>0</v>
      </c>
      <c r="L268">
        <f>'Welding &amp; Hot Work'!K24</f>
        <v>0</v>
      </c>
    </row>
    <row r="269" spans="1:12" ht="15" customHeight="1" x14ac:dyDescent="0.45">
      <c r="A269" t="s">
        <v>177</v>
      </c>
      <c r="B269" t="str">
        <f>'Welding &amp; Hot Work'!A25</f>
        <v>WC-6</v>
      </c>
      <c r="C269" t="str">
        <f>'Welding &amp; Hot Work'!B25</f>
        <v>Welding PPE &amp; Health Protection</v>
      </c>
      <c r="D269" t="str">
        <f>'Welding &amp; Hot Work'!C25</f>
        <v>Protective clothing must be provided and used during welding and cutting operations. Clothing must protect against sparks, spatter, and radiant heat. Combustible or synthetic fabrics must not be worn during welding operations without protective outerwear.</v>
      </c>
      <c r="E269" t="str">
        <f>'Welding &amp; Hot Work'!E25</f>
        <v>Select rating</v>
      </c>
      <c r="F269">
        <f>'Welding &amp; Hot Work'!F25</f>
        <v>0</v>
      </c>
      <c r="G269">
        <f>'Welding &amp; Hot Work'!G25</f>
        <v>6</v>
      </c>
      <c r="H269">
        <f>'Welding &amp; Hot Work'!H25</f>
        <v>0</v>
      </c>
      <c r="I269">
        <f>'Welding &amp; Hot Work'!I25</f>
        <v>0</v>
      </c>
      <c r="J269" t="str">
        <f>'Welding &amp; Hot Work'!J25</f>
        <v>29 CFR 1910.252(b)(3)(i)-(b)(3)(ii)</v>
      </c>
      <c r="K269">
        <f>IF('Welding &amp; Hot Work'!E25="Very High",5,IF('Welding &amp; Hot Work'!E25="High",4,IF('Welding &amp; Hot Work'!E25="Moderate",3,IF('Welding &amp; Hot Work'!E25="Low",2,IF('Welding &amp; Hot Work'!E25="Observation",1,0)))))</f>
        <v>0</v>
      </c>
      <c r="L269">
        <f>'Welding &amp; Hot Work'!K25</f>
        <v>0</v>
      </c>
    </row>
    <row r="270" spans="1:12" ht="15" customHeight="1" x14ac:dyDescent="0.45">
      <c r="A270" t="s">
        <v>177</v>
      </c>
      <c r="B270" t="str">
        <f>'Welding &amp; Hot Work'!A26</f>
        <v>WC-7</v>
      </c>
      <c r="C270" t="str">
        <f>'Welding &amp; Hot Work'!B26</f>
        <v>Welding PPE &amp; Health Protection</v>
      </c>
      <c r="D270" t="str">
        <f>'Welding &amp; Hot Work'!C26</f>
        <v>Local exhaust ventilation or general ventilation must be provided to keep concentrations of welding fumes, gases, and mists below the applicable PEL/TLV. Welding in confined spaces requires special ventilation attention and atmospheric monitoring.</v>
      </c>
      <c r="E270" t="str">
        <f>'Welding &amp; Hot Work'!E26</f>
        <v>Select rating</v>
      </c>
      <c r="F270">
        <f>'Welding &amp; Hot Work'!F26</f>
        <v>0</v>
      </c>
      <c r="G270">
        <f>'Welding &amp; Hot Work'!G26</f>
        <v>8</v>
      </c>
      <c r="H270">
        <f>'Welding &amp; Hot Work'!H26</f>
        <v>0</v>
      </c>
      <c r="I270">
        <f>'Welding &amp; Hot Work'!I26</f>
        <v>0</v>
      </c>
      <c r="J270" t="str">
        <f>'Welding &amp; Hot Work'!J26</f>
        <v>29 CFR 1910.252(c)(1)-(c)(10)</v>
      </c>
      <c r="K270">
        <f>IF('Welding &amp; Hot Work'!E26="Very High",5,IF('Welding &amp; Hot Work'!E26="High",4,IF('Welding &amp; Hot Work'!E26="Moderate",3,IF('Welding &amp; Hot Work'!E26="Low",2,IF('Welding &amp; Hot Work'!E26="Observation",1,0)))))</f>
        <v>0</v>
      </c>
      <c r="L270">
        <f>'Welding &amp; Hot Work'!K26</f>
        <v>0</v>
      </c>
    </row>
    <row r="271" spans="1:12" ht="15" customHeight="1" x14ac:dyDescent="0.45">
      <c r="A271" t="s">
        <v>177</v>
      </c>
      <c r="B271" t="str">
        <f>'Welding &amp; Hot Work'!A27</f>
        <v>WC-8</v>
      </c>
      <c r="C271" t="str">
        <f>'Welding &amp; Hot Work'!B27</f>
        <v>Welding PPE &amp; Health Protection</v>
      </c>
      <c r="D271" t="str">
        <f>'Welding &amp; Hot Work'!C27</f>
        <v>Materials used in cutting, welding, and brazing must be included in the employer's Hazard Communication program and must be properly labeled. Welding consumables (rods, wire, flux, gases) must have SDSs available.</v>
      </c>
      <c r="E271" t="str">
        <f>'Welding &amp; Hot Work'!E27</f>
        <v>Select rating</v>
      </c>
      <c r="F271">
        <f>'Welding &amp; Hot Work'!F27</f>
        <v>0</v>
      </c>
      <c r="G271">
        <f>'Welding &amp; Hot Work'!G27</f>
        <v>6</v>
      </c>
      <c r="H271">
        <f>'Welding &amp; Hot Work'!H27</f>
        <v>0</v>
      </c>
      <c r="I271">
        <f>'Welding &amp; Hot Work'!I27</f>
        <v>0</v>
      </c>
      <c r="J271" t="str">
        <f>'Welding &amp; Hot Work'!J27</f>
        <v>29 CFR 1910.252(a)(4),(a)(5)</v>
      </c>
      <c r="K271">
        <f>IF('Welding &amp; Hot Work'!E27="Very High",5,IF('Welding &amp; Hot Work'!E27="High",4,IF('Welding &amp; Hot Work'!E27="Moderate",3,IF('Welding &amp; Hot Work'!E27="Low",2,IF('Welding &amp; Hot Work'!E27="Observation",1,0)))))</f>
        <v>0</v>
      </c>
      <c r="L271">
        <f>'Welding &amp; Hot Work'!K27</f>
        <v>0</v>
      </c>
    </row>
    <row r="272" spans="1:12" ht="15" customHeight="1" x14ac:dyDescent="0.45">
      <c r="A272" t="s">
        <v>177</v>
      </c>
      <c r="B272" t="str">
        <f>'Welding &amp; Hot Work'!A29</f>
        <v>WC-9</v>
      </c>
      <c r="C272" t="str">
        <f>'Welding &amp; Hot Work'!B29</f>
        <v>Gas Cylinders for Welding &amp; Cutting</v>
      </c>
      <c r="D272" t="str">
        <f>'Welding &amp; Hot Work'!C29</f>
        <v>Compressed gas cylinders used for welding and cutting must be stored, handled, and used safely. Oxygen and fuel gas cylinders must be stored separately. Cylinders must be secured, capped when not in use, and used through listed regulators only.</v>
      </c>
      <c r="E272" t="str">
        <f>'Welding &amp; Hot Work'!E29</f>
        <v>Select rating</v>
      </c>
      <c r="F272">
        <f>'Welding &amp; Hot Work'!F29</f>
        <v>0</v>
      </c>
      <c r="G272">
        <f>'Welding &amp; Hot Work'!G29</f>
        <v>8</v>
      </c>
      <c r="H272">
        <f>'Welding &amp; Hot Work'!H29</f>
        <v>0</v>
      </c>
      <c r="I272">
        <f>'Welding &amp; Hot Work'!I29</f>
        <v>0</v>
      </c>
      <c r="J272" t="str">
        <f>'Welding &amp; Hot Work'!J29</f>
        <v>29 CFR 1910.253(b)(2)-(b)(6)</v>
      </c>
      <c r="K272">
        <f>IF('Welding &amp; Hot Work'!E29="Very High",5,IF('Welding &amp; Hot Work'!E29="High",4,IF('Welding &amp; Hot Work'!E29="Moderate",3,IF('Welding &amp; Hot Work'!E29="Low",2,IF('Welding &amp; Hot Work'!E29="Observation",1,0)))))</f>
        <v>0</v>
      </c>
      <c r="L272">
        <f>'Welding &amp; Hot Work'!K29</f>
        <v>0</v>
      </c>
    </row>
    <row r="273" spans="1:12" ht="15" customHeight="1" x14ac:dyDescent="0.45">
      <c r="A273" t="s">
        <v>177</v>
      </c>
      <c r="B273" t="str">
        <f>'Welding &amp; Hot Work'!A30</f>
        <v>WC-10</v>
      </c>
      <c r="C273" t="str">
        <f>'Welding &amp; Hot Work'!B30</f>
        <v>Gas Cylinders for Welding &amp; Cutting</v>
      </c>
      <c r="D273" t="str">
        <f>'Welding &amp; Hot Work'!C30</f>
        <v>Acetylene must not be used at pressures exceeding 15 psig. Acetylene hoses must not be interchanged with oxygen hoses. Hose connections must be leak-tested before use with soapy water or an approved leak detection solution — not with open flame.</v>
      </c>
      <c r="E273" t="str">
        <f>'Welding &amp; Hot Work'!E30</f>
        <v>Select rating</v>
      </c>
      <c r="F273">
        <f>'Welding &amp; Hot Work'!F30</f>
        <v>0</v>
      </c>
      <c r="G273">
        <f>'Welding &amp; Hot Work'!G30</f>
        <v>8</v>
      </c>
      <c r="H273">
        <f>'Welding &amp; Hot Work'!H30</f>
        <v>0</v>
      </c>
      <c r="I273">
        <f>'Welding &amp; Hot Work'!I30</f>
        <v>0</v>
      </c>
      <c r="J273" t="str">
        <f>'Welding &amp; Hot Work'!J30</f>
        <v>29 CFR 1910.253(b)(5),(e)(5)-(e)(7)</v>
      </c>
      <c r="K273">
        <f>IF('Welding &amp; Hot Work'!E30="Very High",5,IF('Welding &amp; Hot Work'!E30="High",4,IF('Welding &amp; Hot Work'!E30="Moderate",3,IF('Welding &amp; Hot Work'!E30="Low",2,IF('Welding &amp; Hot Work'!E30="Observation",1,0)))))</f>
        <v>0</v>
      </c>
      <c r="L273">
        <f>'Welding &amp; Hot Work'!K30</f>
        <v>0</v>
      </c>
    </row>
    <row r="274" spans="1:12" ht="15" customHeight="1" x14ac:dyDescent="0.45">
      <c r="A274" t="s">
        <v>178</v>
      </c>
      <c r="B274" t="str">
        <f>'BBP &amp; Sanitation'!A19</f>
        <v>BP-1</v>
      </c>
      <c r="C274" t="str">
        <f>'BBP &amp; Sanitation'!B19</f>
        <v>Bloodborne Pathogens — Exposure Control</v>
      </c>
      <c r="D274" t="str">
        <f>'BBP &amp; Sanitation'!C19</f>
        <v>Employers whose employees have occupational exposure (reasonably anticipated contact with blood or other potentially infectious materials — OPIM) must prepare a written Exposure Control Plan (ECP). The ECP must be accessible to employees, reviewed and updated at least annually, and updated whenever new tasks, procedures, or positions are created that affect occupational exposure.</v>
      </c>
      <c r="E274" t="str">
        <f>'BBP &amp; Sanitation'!E19</f>
        <v>Select rating</v>
      </c>
      <c r="F274">
        <f>'BBP &amp; Sanitation'!F19</f>
        <v>0</v>
      </c>
      <c r="G274">
        <f>'BBP &amp; Sanitation'!G19</f>
        <v>10</v>
      </c>
      <c r="H274">
        <f>'BBP &amp; Sanitation'!H19</f>
        <v>0</v>
      </c>
      <c r="I274">
        <f>'BBP &amp; Sanitation'!I19</f>
        <v>0</v>
      </c>
      <c r="J274" t="str">
        <f>'BBP &amp; Sanitation'!J19</f>
        <v>29 CFR 1910.1030(c)(1)-(c)(3)</v>
      </c>
      <c r="K274">
        <f>IF('BBP &amp; Sanitation'!E19="Very High",5,IF('BBP &amp; Sanitation'!E19="High",4,IF('BBP &amp; Sanitation'!E19="Moderate",3,IF('BBP &amp; Sanitation'!E19="Low",2,IF('BBP &amp; Sanitation'!E19="Observation",1,0)))))</f>
        <v>0</v>
      </c>
      <c r="L274">
        <f>'BBP &amp; Sanitation'!K19</f>
        <v>0</v>
      </c>
    </row>
    <row r="275" spans="1:12" ht="15" customHeight="1" x14ac:dyDescent="0.45">
      <c r="A275" t="s">
        <v>178</v>
      </c>
      <c r="B275" t="str">
        <f>'BBP &amp; Sanitation'!A20</f>
        <v>BP-2</v>
      </c>
      <c r="C275" t="str">
        <f>'BBP &amp; Sanitation'!B20</f>
        <v>Bloodborne Pathogens — Exposure Control</v>
      </c>
      <c r="D275" t="str">
        <f>'BBP &amp; Sanitation'!C20</f>
        <v>Engineering controls (sharps disposal containers, self-sheathing needles, safer medical devices) and work practice controls must be established and used to eliminate or minimize employee exposure. Engineering controls must be examined and maintained on a regular schedule.</v>
      </c>
      <c r="E275" t="str">
        <f>'BBP &amp; Sanitation'!E20</f>
        <v>Select rating</v>
      </c>
      <c r="F275">
        <f>'BBP &amp; Sanitation'!F20</f>
        <v>0</v>
      </c>
      <c r="G275">
        <f>'BBP &amp; Sanitation'!G20</f>
        <v>8</v>
      </c>
      <c r="H275">
        <f>'BBP &amp; Sanitation'!H20</f>
        <v>0</v>
      </c>
      <c r="I275">
        <f>'BBP &amp; Sanitation'!I20</f>
        <v>0</v>
      </c>
      <c r="J275" t="str">
        <f>'BBP &amp; Sanitation'!J20</f>
        <v>29 CFR 1910.1030(d)(2)(i)-(d)(2)(ix)</v>
      </c>
      <c r="K275">
        <f>IF('BBP &amp; Sanitation'!E20="Very High",5,IF('BBP &amp; Sanitation'!E20="High",4,IF('BBP &amp; Sanitation'!E20="Moderate",3,IF('BBP &amp; Sanitation'!E20="Low",2,IF('BBP &amp; Sanitation'!E20="Observation",1,0)))))</f>
        <v>0</v>
      </c>
      <c r="L275">
        <f>'BBP &amp; Sanitation'!K20</f>
        <v>0</v>
      </c>
    </row>
    <row r="276" spans="1:12" ht="15" customHeight="1" x14ac:dyDescent="0.45">
      <c r="A276" t="s">
        <v>178</v>
      </c>
      <c r="B276" t="str">
        <f>'BBP &amp; Sanitation'!A21</f>
        <v>BP-3</v>
      </c>
      <c r="C276" t="str">
        <f>'BBP &amp; Sanitation'!B21</f>
        <v>Bloodborne Pathogens — Exposure Control</v>
      </c>
      <c r="D276" t="str">
        <f>'BBP &amp; Sanitation'!C21</f>
        <v>Personal protective equipment (gloves, gowns, face shields, eye protection, resuscitation devices) must be provided at no cost to employees with occupational exposure and must be available in appropriate sizes.</v>
      </c>
      <c r="E276" t="str">
        <f>'BBP &amp; Sanitation'!E21</f>
        <v>Select rating</v>
      </c>
      <c r="F276">
        <f>'BBP &amp; Sanitation'!F21</f>
        <v>0</v>
      </c>
      <c r="G276">
        <f>'BBP &amp; Sanitation'!G21</f>
        <v>8</v>
      </c>
      <c r="H276">
        <f>'BBP &amp; Sanitation'!H21</f>
        <v>0</v>
      </c>
      <c r="I276">
        <f>'BBP &amp; Sanitation'!I21</f>
        <v>0</v>
      </c>
      <c r="J276" t="str">
        <f>'BBP &amp; Sanitation'!J21</f>
        <v>29 CFR 1910.1030(d)(3)(i)-(d)(3)(iii)</v>
      </c>
      <c r="K276">
        <f>IF('BBP &amp; Sanitation'!E21="Very High",5,IF('BBP &amp; Sanitation'!E21="High",4,IF('BBP &amp; Sanitation'!E21="Moderate",3,IF('BBP &amp; Sanitation'!E21="Low",2,IF('BBP &amp; Sanitation'!E21="Observation",1,0)))))</f>
        <v>0</v>
      </c>
      <c r="L276">
        <f>'BBP &amp; Sanitation'!K21</f>
        <v>0</v>
      </c>
    </row>
    <row r="277" spans="1:12" ht="15" customHeight="1" x14ac:dyDescent="0.45">
      <c r="A277" t="s">
        <v>178</v>
      </c>
      <c r="B277" t="str">
        <f>'BBP &amp; Sanitation'!A22</f>
        <v>BP-4</v>
      </c>
      <c r="C277" t="str">
        <f>'BBP &amp; Sanitation'!B22</f>
        <v>Bloodborne Pathogens — Exposure Control</v>
      </c>
      <c r="D277" t="str">
        <f>'BBP &amp; Sanitation'!C22</f>
        <v>Hepatitis B vaccination must be made available to all employees who have occupational exposure, at no cost to the employee, after training and within 10 working days of initial assignment to tasks with occupational exposure.</v>
      </c>
      <c r="E277" t="str">
        <f>'BBP &amp; Sanitation'!E22</f>
        <v>Select rating</v>
      </c>
      <c r="F277">
        <f>'BBP &amp; Sanitation'!F22</f>
        <v>0</v>
      </c>
      <c r="G277">
        <f>'BBP &amp; Sanitation'!G22</f>
        <v>8</v>
      </c>
      <c r="H277">
        <f>'BBP &amp; Sanitation'!H22</f>
        <v>0</v>
      </c>
      <c r="I277">
        <f>'BBP &amp; Sanitation'!I22</f>
        <v>0</v>
      </c>
      <c r="J277" t="str">
        <f>'BBP &amp; Sanitation'!J22</f>
        <v>29 CFR 1910.1030(f)(1)-(f)(2)</v>
      </c>
      <c r="K277">
        <f>IF('BBP &amp; Sanitation'!E22="Very High",5,IF('BBP &amp; Sanitation'!E22="High",4,IF('BBP &amp; Sanitation'!E22="Moderate",3,IF('BBP &amp; Sanitation'!E22="Low",2,IF('BBP &amp; Sanitation'!E22="Observation",1,0)))))</f>
        <v>0</v>
      </c>
      <c r="L277">
        <f>'BBP &amp; Sanitation'!K22</f>
        <v>0</v>
      </c>
    </row>
    <row r="278" spans="1:12" ht="15" customHeight="1" x14ac:dyDescent="0.45">
      <c r="A278" t="s">
        <v>178</v>
      </c>
      <c r="B278" t="str">
        <f>'BBP &amp; Sanitation'!A23</f>
        <v>BP-5</v>
      </c>
      <c r="C278" t="str">
        <f>'BBP &amp; Sanitation'!B23</f>
        <v>Bloodborne Pathogens — Exposure Control</v>
      </c>
      <c r="D278" t="str">
        <f>'BBP &amp; Sanitation'!C23</f>
        <v>Employers must provide post-exposure evaluation and follow-up at no cost to any employee who experiences an exposure incident. The follow-up must include documentation of the route of exposure, identification of the source individual, collection and testing of the exposed employee's blood, post-exposure prophylaxis, counseling, and evaluation of reported illnesses.</v>
      </c>
      <c r="E278" t="str">
        <f>'BBP &amp; Sanitation'!E23</f>
        <v>Select rating</v>
      </c>
      <c r="F278">
        <f>'BBP &amp; Sanitation'!F23</f>
        <v>0</v>
      </c>
      <c r="G278">
        <f>'BBP &amp; Sanitation'!G23</f>
        <v>8</v>
      </c>
      <c r="H278">
        <f>'BBP &amp; Sanitation'!H23</f>
        <v>0</v>
      </c>
      <c r="I278">
        <f>'BBP &amp; Sanitation'!I23</f>
        <v>0</v>
      </c>
      <c r="J278" t="str">
        <f>'BBP &amp; Sanitation'!J23</f>
        <v>29 CFR 1910.1030(f)(3)-(f)(4)</v>
      </c>
      <c r="K278">
        <f>IF('BBP &amp; Sanitation'!E23="Very High",5,IF('BBP &amp; Sanitation'!E23="High",4,IF('BBP &amp; Sanitation'!E23="Moderate",3,IF('BBP &amp; Sanitation'!E23="Low",2,IF('BBP &amp; Sanitation'!E23="Observation",1,0)))))</f>
        <v>0</v>
      </c>
      <c r="L278">
        <f>'BBP &amp; Sanitation'!K23</f>
        <v>0</v>
      </c>
    </row>
    <row r="279" spans="1:12" ht="15" customHeight="1" x14ac:dyDescent="0.45">
      <c r="A279" t="s">
        <v>178</v>
      </c>
      <c r="B279" t="str">
        <f>'BBP &amp; Sanitation'!A25</f>
        <v>BP-6</v>
      </c>
      <c r="C279" t="str">
        <f>'BBP &amp; Sanitation'!B25</f>
        <v>Bloodborne Pathogens — Training &amp; Records</v>
      </c>
      <c r="D279" t="str">
        <f>'BBP &amp; Sanitation'!C25</f>
        <v>Training must be provided to employees with occupational exposure at initial assignment and annually thereafter. Training must include explanation of the ECP, methods to recognize tasks that involve exposure, use of engineering controls and PPE, hepatitis B vaccine information, post-exposure procedures, and signs and labels.</v>
      </c>
      <c r="E279" t="str">
        <f>'BBP &amp; Sanitation'!E25</f>
        <v>Select rating</v>
      </c>
      <c r="F279">
        <f>'BBP &amp; Sanitation'!F25</f>
        <v>0</v>
      </c>
      <c r="G279">
        <f>'BBP &amp; Sanitation'!G25</f>
        <v>10</v>
      </c>
      <c r="H279">
        <f>'BBP &amp; Sanitation'!H25</f>
        <v>0</v>
      </c>
      <c r="I279">
        <f>'BBP &amp; Sanitation'!I25</f>
        <v>0</v>
      </c>
      <c r="J279" t="str">
        <f>'BBP &amp; Sanitation'!J25</f>
        <v>29 CFR 1910.1030(g)(2)(i)-(g)(2)(ix)</v>
      </c>
      <c r="K279">
        <f>IF('BBP &amp; Sanitation'!E25="Very High",5,IF('BBP &amp; Sanitation'!E25="High",4,IF('BBP &amp; Sanitation'!E25="Moderate",3,IF('BBP &amp; Sanitation'!E25="Low",2,IF('BBP &amp; Sanitation'!E25="Observation",1,0)))))</f>
        <v>0</v>
      </c>
      <c r="L279">
        <f>'BBP &amp; Sanitation'!K25</f>
        <v>0</v>
      </c>
    </row>
    <row r="280" spans="1:12" ht="15" customHeight="1" x14ac:dyDescent="0.45">
      <c r="A280" t="s">
        <v>178</v>
      </c>
      <c r="B280" t="str">
        <f>'BBP &amp; Sanitation'!A26</f>
        <v>BP-7</v>
      </c>
      <c r="C280" t="str">
        <f>'BBP &amp; Sanitation'!B26</f>
        <v>Bloodborne Pathogens — Training &amp; Records</v>
      </c>
      <c r="D280" t="str">
        <f>'BBP &amp; Sanitation'!C26</f>
        <v>Medical records for each employee with occupational exposure must be maintained, including hepatitis B vaccination records, post-exposure follow-up documentation, and a copy of each employee's healthcare professional's written opinion. Training records must be maintained for 3 years.</v>
      </c>
      <c r="E280" t="str">
        <f>'BBP &amp; Sanitation'!E26</f>
        <v>Select rating</v>
      </c>
      <c r="F280">
        <f>'BBP &amp; Sanitation'!F26</f>
        <v>0</v>
      </c>
      <c r="G280">
        <f>'BBP &amp; Sanitation'!G26</f>
        <v>6</v>
      </c>
      <c r="H280">
        <f>'BBP &amp; Sanitation'!H26</f>
        <v>0</v>
      </c>
      <c r="I280">
        <f>'BBP &amp; Sanitation'!I26</f>
        <v>0</v>
      </c>
      <c r="J280" t="str">
        <f>'BBP &amp; Sanitation'!J26</f>
        <v>29 CFR 1910.1030(h)(1)-(h)(2)</v>
      </c>
      <c r="K280">
        <f>IF('BBP &amp; Sanitation'!E26="Very High",5,IF('BBP &amp; Sanitation'!E26="High",4,IF('BBP &amp; Sanitation'!E26="Moderate",3,IF('BBP &amp; Sanitation'!E26="Low",2,IF('BBP &amp; Sanitation'!E26="Observation",1,0)))))</f>
        <v>0</v>
      </c>
      <c r="L280">
        <f>'BBP &amp; Sanitation'!K26</f>
        <v>0</v>
      </c>
    </row>
    <row r="281" spans="1:12" ht="15" customHeight="1" x14ac:dyDescent="0.45">
      <c r="A281" t="s">
        <v>178</v>
      </c>
      <c r="B281" t="str">
        <f>'BBP &amp; Sanitation'!A28</f>
        <v>BP-8</v>
      </c>
      <c r="C281" t="str">
        <f>'BBP &amp; Sanitation'!B28</f>
        <v>Workplace Sanitation</v>
      </c>
      <c r="D281" t="str">
        <f>'BBP &amp; Sanitation'!C28</f>
        <v>Permanent places of employment must be kept clean. Floors must be cleaned regularly and kept free of liquid, refuse, and spills. Waste must be disposed of regularly to avoid health hazards.</v>
      </c>
      <c r="E281" t="str">
        <f>'BBP &amp; Sanitation'!E28</f>
        <v>Select rating</v>
      </c>
      <c r="F281">
        <f>'BBP &amp; Sanitation'!F28</f>
        <v>0</v>
      </c>
      <c r="G281">
        <f>'BBP &amp; Sanitation'!G28</f>
        <v>6</v>
      </c>
      <c r="H281">
        <f>'BBP &amp; Sanitation'!H28</f>
        <v>0</v>
      </c>
      <c r="I281">
        <f>'BBP &amp; Sanitation'!I28</f>
        <v>0</v>
      </c>
      <c r="J281" t="str">
        <f>'BBP &amp; Sanitation'!J28</f>
        <v>29 CFR 1910.141(a)(1)-(a)(5)</v>
      </c>
      <c r="K281">
        <f>IF('BBP &amp; Sanitation'!E28="Very High",5,IF('BBP &amp; Sanitation'!E28="High",4,IF('BBP &amp; Sanitation'!E28="Moderate",3,IF('BBP &amp; Sanitation'!E28="Low",2,IF('BBP &amp; Sanitation'!E28="Observation",1,0)))))</f>
        <v>0</v>
      </c>
      <c r="L281">
        <f>'BBP &amp; Sanitation'!K28</f>
        <v>0</v>
      </c>
    </row>
    <row r="282" spans="1:12" ht="15" customHeight="1" x14ac:dyDescent="0.45">
      <c r="A282" t="s">
        <v>178</v>
      </c>
      <c r="B282" t="str">
        <f>'BBP &amp; Sanitation'!A29</f>
        <v>BP-9</v>
      </c>
      <c r="C282" t="str">
        <f>'BBP &amp; Sanitation'!B29</f>
        <v>Workplace Sanitation</v>
      </c>
      <c r="D282" t="str">
        <f>'BBP &amp; Sanitation'!C29</f>
        <v>A sanitary potable water supply must be provided for drinking, washing, cooking, and washing food. The supply must be from an approved source. Shared drinking cups or non-single-use drinking utensils are prohibited.</v>
      </c>
      <c r="E282" t="str">
        <f>'BBP &amp; Sanitation'!E29</f>
        <v>Select rating</v>
      </c>
      <c r="F282">
        <f>'BBP &amp; Sanitation'!F29</f>
        <v>0</v>
      </c>
      <c r="G282">
        <f>'BBP &amp; Sanitation'!G29</f>
        <v>6</v>
      </c>
      <c r="H282">
        <f>'BBP &amp; Sanitation'!H29</f>
        <v>0</v>
      </c>
      <c r="I282">
        <f>'BBP &amp; Sanitation'!I29</f>
        <v>0</v>
      </c>
      <c r="J282" t="str">
        <f>'BBP &amp; Sanitation'!J29</f>
        <v>29 CFR 1910.141(b)(1)-(b)(2)</v>
      </c>
      <c r="K282">
        <f>IF('BBP &amp; Sanitation'!E29="Very High",5,IF('BBP &amp; Sanitation'!E29="High",4,IF('BBP &amp; Sanitation'!E29="Moderate",3,IF('BBP &amp; Sanitation'!E29="Low",2,IF('BBP &amp; Sanitation'!E29="Observation",1,0)))))</f>
        <v>0</v>
      </c>
      <c r="L282">
        <f>'BBP &amp; Sanitation'!K29</f>
        <v>0</v>
      </c>
    </row>
    <row r="283" spans="1:12" ht="15" customHeight="1" x14ac:dyDescent="0.45">
      <c r="A283" t="s">
        <v>178</v>
      </c>
      <c r="B283" t="str">
        <f>'BBP &amp; Sanitation'!A30</f>
        <v>BP-10</v>
      </c>
      <c r="C283" t="str">
        <f>'BBP &amp; Sanitation'!B30</f>
        <v>Workplace Sanitation</v>
      </c>
      <c r="D283" t="str">
        <f>'BBP &amp; Sanitation'!C30</f>
        <v>Separate and adequate toilet facilities must be provided. Minimum requirements: 1 toilet for 1-15 employees; 2 toilets for 16-35 employees; 3 toilets for 36-55 employees; 4 for 56-80; 5 for 81-110; 6 for 111-150; 1 additional for each additional 40 employees. Facilities must be maintained in a clean, sanitary condition.</v>
      </c>
      <c r="E283" t="str">
        <f>'BBP &amp; Sanitation'!E30</f>
        <v>Select rating</v>
      </c>
      <c r="F283">
        <f>'BBP &amp; Sanitation'!F30</f>
        <v>0</v>
      </c>
      <c r="G283">
        <f>'BBP &amp; Sanitation'!G30</f>
        <v>6</v>
      </c>
      <c r="H283">
        <f>'BBP &amp; Sanitation'!H30</f>
        <v>0</v>
      </c>
      <c r="I283">
        <f>'BBP &amp; Sanitation'!I30</f>
        <v>0</v>
      </c>
      <c r="J283" t="str">
        <f>'BBP &amp; Sanitation'!J30</f>
        <v>29 CFR 1910.141(c)(1)(i)-(c)(1)(iii)</v>
      </c>
      <c r="K283">
        <f>IF('BBP &amp; Sanitation'!E30="Very High",5,IF('BBP &amp; Sanitation'!E30="High",4,IF('BBP &amp; Sanitation'!E30="Moderate",3,IF('BBP &amp; Sanitation'!E30="Low",2,IF('BBP &amp; Sanitation'!E30="Observation",1,0)))))</f>
        <v>0</v>
      </c>
      <c r="L283">
        <f>'BBP &amp; Sanitation'!K30</f>
        <v>0</v>
      </c>
    </row>
    <row r="284" spans="1:12" ht="15" customHeight="1" x14ac:dyDescent="0.45">
      <c r="A284" t="s">
        <v>178</v>
      </c>
      <c r="B284" t="str">
        <f>'BBP &amp; Sanitation'!A31</f>
        <v>BP-11</v>
      </c>
      <c r="C284" t="str">
        <f>'BBP &amp; Sanitation'!B31</f>
        <v>Workplace Sanitation</v>
      </c>
      <c r="D284" t="str">
        <f>'BBP &amp; Sanitation'!C31</f>
        <v>Washing facilities must be provided near toilet facilities and in any area where employees are exposed to skin-contaminating or skin-absorbing substances. Facilities must include adequate supplies of soap and single-use towels or warm air blowers.</v>
      </c>
      <c r="E284" t="str">
        <f>'BBP &amp; Sanitation'!E31</f>
        <v>Select rating</v>
      </c>
      <c r="F284">
        <f>'BBP &amp; Sanitation'!F31</f>
        <v>0</v>
      </c>
      <c r="G284">
        <f>'BBP &amp; Sanitation'!G31</f>
        <v>5</v>
      </c>
      <c r="H284">
        <f>'BBP &amp; Sanitation'!H31</f>
        <v>0</v>
      </c>
      <c r="I284">
        <f>'BBP &amp; Sanitation'!I31</f>
        <v>0</v>
      </c>
      <c r="J284" t="str">
        <f>'BBP &amp; Sanitation'!J31</f>
        <v>29 CFR 1910.141(d)(1)-(d)(3)</v>
      </c>
      <c r="K284">
        <f>IF('BBP &amp; Sanitation'!E31="Very High",5,IF('BBP &amp; Sanitation'!E31="High",4,IF('BBP &amp; Sanitation'!E31="Moderate",3,IF('BBP &amp; Sanitation'!E31="Low",2,IF('BBP &amp; Sanitation'!E31="Observation",1,0)))))</f>
        <v>0</v>
      </c>
      <c r="L284">
        <f>'BBP &amp; Sanitation'!K31</f>
        <v>0</v>
      </c>
    </row>
    <row r="285" spans="1:12" ht="15" customHeight="1" x14ac:dyDescent="0.45">
      <c r="A285" t="s">
        <v>178</v>
      </c>
      <c r="B285" t="str">
        <f>'BBP &amp; Sanitation'!A32</f>
        <v>BP-12</v>
      </c>
      <c r="C285" t="str">
        <f>'BBP &amp; Sanitation'!B32</f>
        <v>Workplace Sanitation</v>
      </c>
      <c r="D285" t="str">
        <f>'BBP &amp; Sanitation'!C32</f>
        <v>Food and beverages must not be consumed or stored in areas exposed to toxic or harmful materials. Change rooms must be provided where employees wear contaminated work clothing and the employer requires removal of clothing before leaving. Work clothing provided by the employer must be laundered by the employer, not taken home.</v>
      </c>
      <c r="E285" t="str">
        <f>'BBP &amp; Sanitation'!E32</f>
        <v>Select rating</v>
      </c>
      <c r="F285">
        <f>'BBP &amp; Sanitation'!F32</f>
        <v>0</v>
      </c>
      <c r="G285">
        <f>'BBP &amp; Sanitation'!G32</f>
        <v>5</v>
      </c>
      <c r="H285">
        <f>'BBP &amp; Sanitation'!H32</f>
        <v>0</v>
      </c>
      <c r="I285">
        <f>'BBP &amp; Sanitation'!I32</f>
        <v>0</v>
      </c>
      <c r="J285" t="str">
        <f>'BBP &amp; Sanitation'!J32</f>
        <v>29 CFR 1910.141(e)-(g)</v>
      </c>
      <c r="K285">
        <f>IF('BBP &amp; Sanitation'!E32="Very High",5,IF('BBP &amp; Sanitation'!E32="High",4,IF('BBP &amp; Sanitation'!E32="Moderate",3,IF('BBP &amp; Sanitation'!E32="Low",2,IF('BBP &amp; Sanitation'!E32="Observation",1,0)))))</f>
        <v>0</v>
      </c>
      <c r="L285">
        <f>'BBP &amp; Sanitation'!K32</f>
        <v>0</v>
      </c>
    </row>
    <row r="286" spans="1:12" ht="15" customHeight="1" x14ac:dyDescent="0.45">
      <c r="A286" t="s">
        <v>178</v>
      </c>
      <c r="B286" t="str">
        <f>'BBP &amp; Sanitation'!A34</f>
        <v>BP-13</v>
      </c>
      <c r="C286" t="str">
        <f>'BBP &amp; Sanitation'!B34</f>
        <v>Safety Color Codes &amp; Signs</v>
      </c>
      <c r="D286" t="str">
        <f>'BBP &amp; Sanitation'!C34</f>
        <v>Physical hazards must be marked using specific colors for identification: RED — fire protection equipment, danger signs, emergency stop; ORANGE — dangerous parts of machines, energized electrical equipment; YELLOW — caution, physical hazards, striking hazards, unstable surfaces; GREEN — safety/first aid; BLUE — information/caution against starting equipment under repair; FLUORESCENT ORANGE/ORANGE-RED — biological hazards.</v>
      </c>
      <c r="E286" t="str">
        <f>'BBP &amp; Sanitation'!E34</f>
        <v>Select rating</v>
      </c>
      <c r="F286">
        <f>'BBP &amp; Sanitation'!F34</f>
        <v>0</v>
      </c>
      <c r="G286">
        <f>'BBP &amp; Sanitation'!G34</f>
        <v>5</v>
      </c>
      <c r="H286">
        <f>'BBP &amp; Sanitation'!H34</f>
        <v>0</v>
      </c>
      <c r="I286">
        <f>'BBP &amp; Sanitation'!I34</f>
        <v>0</v>
      </c>
      <c r="J286" t="str">
        <f>'BBP &amp; Sanitation'!J34</f>
        <v>29 CFR 1910.144(a)(1)-(a)(3)</v>
      </c>
      <c r="K286">
        <f>IF('BBP &amp; Sanitation'!E34="Very High",5,IF('BBP &amp; Sanitation'!E34="High",4,IF('BBP &amp; Sanitation'!E34="Moderate",3,IF('BBP &amp; Sanitation'!E34="Low",2,IF('BBP &amp; Sanitation'!E34="Observation",1,0)))))</f>
        <v>0</v>
      </c>
      <c r="L286">
        <f>'BBP &amp; Sanitation'!K34</f>
        <v>0</v>
      </c>
    </row>
    <row r="287" spans="1:12" ht="15" customHeight="1" x14ac:dyDescent="0.45">
      <c r="A287" t="s">
        <v>178</v>
      </c>
      <c r="B287" t="str">
        <f>'BBP &amp; Sanitation'!A35</f>
        <v>BP-14</v>
      </c>
      <c r="C287" t="str">
        <f>'BBP &amp; Sanitation'!B35</f>
        <v>Safety Color Codes &amp; Signs</v>
      </c>
      <c r="D287" t="str">
        <f>'BBP &amp; Sanitation'!C35</f>
        <v>Accident prevention signs and tags must meet ANSI Z535.2 (signs) and Z535.5 (tags) design requirements. Signs must use appropriate signal words: DANGER (immediate hazard causing death or serious injury); WARNING (hazard that could cause death or serious injury); CAUTION (minor injury hazard); NOTICE (general information). Tags must contain a signal word and a major message describing the hazard.</v>
      </c>
      <c r="E287" t="str">
        <f>'BBP &amp; Sanitation'!E35</f>
        <v>Select rating</v>
      </c>
      <c r="F287">
        <f>'BBP &amp; Sanitation'!F35</f>
        <v>0</v>
      </c>
      <c r="G287">
        <f>'BBP &amp; Sanitation'!G35</f>
        <v>5</v>
      </c>
      <c r="H287">
        <f>'BBP &amp; Sanitation'!H35</f>
        <v>0</v>
      </c>
      <c r="I287">
        <f>'BBP &amp; Sanitation'!I35</f>
        <v>0</v>
      </c>
      <c r="J287" t="str">
        <f>'BBP &amp; Sanitation'!J35</f>
        <v>29 CFR 1910.145(a)-(f)</v>
      </c>
      <c r="K287">
        <f>IF('BBP &amp; Sanitation'!E35="Very High",5,IF('BBP &amp; Sanitation'!E35="High",4,IF('BBP &amp; Sanitation'!E35="Moderate",3,IF('BBP &amp; Sanitation'!E35="Low",2,IF('BBP &amp; Sanitation'!E35="Observation",1,0)))))</f>
        <v>0</v>
      </c>
      <c r="L287">
        <f>'BBP &amp; Sanitation'!K35</f>
        <v>0</v>
      </c>
    </row>
    <row r="288" spans="1:12" ht="14.25" customHeight="1" x14ac:dyDescent="0.45">
      <c r="A288" s="74" t="s">
        <v>1558</v>
      </c>
      <c r="B288" s="74" t="str">
        <f ca="1">'State Requirements'!A19</f>
        <v/>
      </c>
      <c r="C288" s="74" t="str">
        <f ca="1">'State Requirements'!B19</f>
        <v/>
      </c>
      <c r="D288" s="74" t="str">
        <f ca="1">'State Requirements'!C19</f>
        <v/>
      </c>
      <c r="E288" s="74" t="str">
        <f>'State Requirements'!E19</f>
        <v>Select rating</v>
      </c>
      <c r="F288" s="74">
        <f ca="1">'State Requirements'!F19</f>
        <v>0</v>
      </c>
      <c r="G288" s="74">
        <f ca="1">'State Requirements'!G19</f>
        <v>0</v>
      </c>
      <c r="H288" s="74">
        <f>'State Requirements'!H19</f>
        <v>0</v>
      </c>
      <c r="I288" s="74">
        <f>'State Requirements'!I19</f>
        <v>0</v>
      </c>
      <c r="J288" s="74" t="str">
        <f ca="1">'State Requirements'!J19</f>
        <v/>
      </c>
      <c r="K288" s="74">
        <f>IF('State Requirements'!E19="Very High",5,IF('State Requirements'!E19="High",4,IF('State Requirements'!E19="Moderate",3,IF('State Requirements'!E19="Low",2,IF('State Requirements'!E19="Best Practice",1,0)))))</f>
        <v>0</v>
      </c>
      <c r="L288" s="74">
        <f>'State Requirements'!K19</f>
        <v>0</v>
      </c>
    </row>
    <row r="289" spans="1:12" ht="14.25" customHeight="1" x14ac:dyDescent="0.45">
      <c r="A289" s="74" t="s">
        <v>1558</v>
      </c>
      <c r="B289" s="74" t="str">
        <f ca="1">'State Requirements'!A20</f>
        <v/>
      </c>
      <c r="C289" s="74" t="str">
        <f ca="1">'State Requirements'!B20</f>
        <v/>
      </c>
      <c r="D289" s="74" t="str">
        <f ca="1">'State Requirements'!C20</f>
        <v/>
      </c>
      <c r="E289" s="74" t="str">
        <f>'State Requirements'!E20</f>
        <v>Select rating</v>
      </c>
      <c r="F289" s="74">
        <f ca="1">'State Requirements'!F20</f>
        <v>0</v>
      </c>
      <c r="G289" s="74">
        <f ca="1">'State Requirements'!G20</f>
        <v>0</v>
      </c>
      <c r="H289" s="74">
        <f>'State Requirements'!H20</f>
        <v>0</v>
      </c>
      <c r="I289" s="74">
        <f>'State Requirements'!I20</f>
        <v>0</v>
      </c>
      <c r="J289" s="74" t="str">
        <f ca="1">'State Requirements'!J20</f>
        <v/>
      </c>
      <c r="K289" s="74">
        <f>IF('State Requirements'!E20="Very High",5,IF('State Requirements'!E20="High",4,IF('State Requirements'!E20="Moderate",3,IF('State Requirements'!E20="Low",2,IF('State Requirements'!E20="Best Practice",1,0)))))</f>
        <v>0</v>
      </c>
      <c r="L289" s="74">
        <f>'State Requirements'!K20</f>
        <v>0</v>
      </c>
    </row>
    <row r="290" spans="1:12" ht="14.25" customHeight="1" x14ac:dyDescent="0.45">
      <c r="A290" s="74" t="s">
        <v>1558</v>
      </c>
      <c r="B290" s="74" t="str">
        <f ca="1">'State Requirements'!A21</f>
        <v/>
      </c>
      <c r="C290" s="74" t="str">
        <f ca="1">'State Requirements'!B21</f>
        <v/>
      </c>
      <c r="D290" s="74" t="str">
        <f ca="1">'State Requirements'!C21</f>
        <v/>
      </c>
      <c r="E290" s="74" t="str">
        <f>'State Requirements'!E21</f>
        <v>Select rating</v>
      </c>
      <c r="F290" s="74">
        <f ca="1">'State Requirements'!F21</f>
        <v>0</v>
      </c>
      <c r="G290" s="74">
        <f ca="1">'State Requirements'!G21</f>
        <v>0</v>
      </c>
      <c r="H290" s="74">
        <f>'State Requirements'!H21</f>
        <v>0</v>
      </c>
      <c r="I290" s="74">
        <f>'State Requirements'!I21</f>
        <v>0</v>
      </c>
      <c r="J290" s="74" t="str">
        <f ca="1">'State Requirements'!J21</f>
        <v/>
      </c>
      <c r="K290" s="74">
        <f>IF('State Requirements'!E21="Very High",5,IF('State Requirements'!E21="High",4,IF('State Requirements'!E21="Moderate",3,IF('State Requirements'!E21="Low",2,IF('State Requirements'!E21="Best Practice",1,0)))))</f>
        <v>0</v>
      </c>
      <c r="L290" s="74">
        <f>'State Requirements'!K21</f>
        <v>0</v>
      </c>
    </row>
    <row r="291" spans="1:12" ht="14.25" customHeight="1" x14ac:dyDescent="0.45">
      <c r="A291" s="74" t="s">
        <v>1558</v>
      </c>
      <c r="B291" s="74" t="str">
        <f ca="1">'State Requirements'!A22</f>
        <v/>
      </c>
      <c r="C291" s="74" t="str">
        <f ca="1">'State Requirements'!B22</f>
        <v/>
      </c>
      <c r="D291" s="74" t="str">
        <f ca="1">'State Requirements'!C22</f>
        <v/>
      </c>
      <c r="E291" s="74" t="str">
        <f>'State Requirements'!E22</f>
        <v>Select rating</v>
      </c>
      <c r="F291" s="74">
        <f ca="1">'State Requirements'!F22</f>
        <v>0</v>
      </c>
      <c r="G291" s="74">
        <f ca="1">'State Requirements'!G22</f>
        <v>0</v>
      </c>
      <c r="H291" s="74">
        <f>'State Requirements'!H22</f>
        <v>0</v>
      </c>
      <c r="I291" s="74">
        <f>'State Requirements'!I22</f>
        <v>0</v>
      </c>
      <c r="J291" s="74" t="str">
        <f ca="1">'State Requirements'!J22</f>
        <v/>
      </c>
      <c r="K291" s="74">
        <f>IF('State Requirements'!E22="Very High",5,IF('State Requirements'!E22="High",4,IF('State Requirements'!E22="Moderate",3,IF('State Requirements'!E22="Low",2,IF('State Requirements'!E22="Best Practice",1,0)))))</f>
        <v>0</v>
      </c>
      <c r="L291" s="74">
        <f>'State Requirements'!K22</f>
        <v>0</v>
      </c>
    </row>
    <row r="292" spans="1:12" ht="14.25" customHeight="1" x14ac:dyDescent="0.45">
      <c r="A292" s="74" t="s">
        <v>1558</v>
      </c>
      <c r="B292" s="74" t="str">
        <f ca="1">'State Requirements'!A23</f>
        <v/>
      </c>
      <c r="C292" s="74" t="str">
        <f ca="1">'State Requirements'!B23</f>
        <v/>
      </c>
      <c r="D292" s="74" t="str">
        <f ca="1">'State Requirements'!C23</f>
        <v/>
      </c>
      <c r="E292" s="74" t="str">
        <f>'State Requirements'!E23</f>
        <v>Select rating</v>
      </c>
      <c r="F292" s="74">
        <f ca="1">'State Requirements'!F23</f>
        <v>0</v>
      </c>
      <c r="G292" s="74">
        <f ca="1">'State Requirements'!G23</f>
        <v>0</v>
      </c>
      <c r="H292" s="74">
        <f>'State Requirements'!H23</f>
        <v>0</v>
      </c>
      <c r="I292" s="74">
        <f>'State Requirements'!I23</f>
        <v>0</v>
      </c>
      <c r="J292" s="74" t="str">
        <f ca="1">'State Requirements'!J23</f>
        <v/>
      </c>
      <c r="K292" s="74">
        <f>IF('State Requirements'!E23="Very High",5,IF('State Requirements'!E23="High",4,IF('State Requirements'!E23="Moderate",3,IF('State Requirements'!E23="Low",2,IF('State Requirements'!E23="Best Practice",1,0)))))</f>
        <v>0</v>
      </c>
      <c r="L292" s="74">
        <f>'State Requirements'!K23</f>
        <v>0</v>
      </c>
    </row>
    <row r="293" spans="1:12" ht="14.25" customHeight="1" x14ac:dyDescent="0.45">
      <c r="A293" s="74" t="s">
        <v>1558</v>
      </c>
      <c r="B293" s="74" t="str">
        <f ca="1">'State Requirements'!A24</f>
        <v/>
      </c>
      <c r="C293" s="74" t="str">
        <f ca="1">'State Requirements'!B24</f>
        <v/>
      </c>
      <c r="D293" s="74" t="str">
        <f ca="1">'State Requirements'!C24</f>
        <v/>
      </c>
      <c r="E293" s="74" t="str">
        <f>'State Requirements'!E24</f>
        <v>Select rating</v>
      </c>
      <c r="F293" s="74">
        <f ca="1">'State Requirements'!F24</f>
        <v>0</v>
      </c>
      <c r="G293" s="74">
        <f ca="1">'State Requirements'!G24</f>
        <v>0</v>
      </c>
      <c r="H293" s="74">
        <f>'State Requirements'!H24</f>
        <v>0</v>
      </c>
      <c r="I293" s="74">
        <f>'State Requirements'!I24</f>
        <v>0</v>
      </c>
      <c r="J293" s="74" t="str">
        <f ca="1">'State Requirements'!J24</f>
        <v/>
      </c>
      <c r="K293" s="74">
        <f>IF('State Requirements'!E24="Very High",5,IF('State Requirements'!E24="High",4,IF('State Requirements'!E24="Moderate",3,IF('State Requirements'!E24="Low",2,IF('State Requirements'!E24="Best Practice",1,0)))))</f>
        <v>0</v>
      </c>
      <c r="L293" s="74">
        <f>'State Requirements'!K24</f>
        <v>0</v>
      </c>
    </row>
    <row r="294" spans="1:12" ht="14.25" customHeight="1" x14ac:dyDescent="0.45">
      <c r="A294" s="74" t="s">
        <v>1558</v>
      </c>
      <c r="B294" s="74" t="str">
        <f ca="1">'State Requirements'!A25</f>
        <v/>
      </c>
      <c r="C294" s="74" t="str">
        <f ca="1">'State Requirements'!B25</f>
        <v/>
      </c>
      <c r="D294" s="74" t="str">
        <f ca="1">'State Requirements'!C25</f>
        <v/>
      </c>
      <c r="E294" s="74" t="str">
        <f>'State Requirements'!E25</f>
        <v>Select rating</v>
      </c>
      <c r="F294" s="74">
        <f ca="1">'State Requirements'!F25</f>
        <v>0</v>
      </c>
      <c r="G294" s="74">
        <f ca="1">'State Requirements'!G25</f>
        <v>0</v>
      </c>
      <c r="H294" s="74">
        <f>'State Requirements'!H25</f>
        <v>0</v>
      </c>
      <c r="I294" s="74">
        <f>'State Requirements'!I25</f>
        <v>0</v>
      </c>
      <c r="J294" s="74" t="str">
        <f ca="1">'State Requirements'!J25</f>
        <v/>
      </c>
      <c r="K294" s="74">
        <f>IF('State Requirements'!E25="Very High",5,IF('State Requirements'!E25="High",4,IF('State Requirements'!E25="Moderate",3,IF('State Requirements'!E25="Low",2,IF('State Requirements'!E25="Best Practice",1,0)))))</f>
        <v>0</v>
      </c>
      <c r="L294" s="74">
        <f>'State Requirements'!K25</f>
        <v>0</v>
      </c>
    </row>
    <row r="295" spans="1:12" ht="14.25" customHeight="1" x14ac:dyDescent="0.45">
      <c r="A295" s="74" t="s">
        <v>1558</v>
      </c>
      <c r="B295" s="74" t="str">
        <f ca="1">'State Requirements'!A26</f>
        <v/>
      </c>
      <c r="C295" s="74" t="str">
        <f ca="1">'State Requirements'!B26</f>
        <v/>
      </c>
      <c r="D295" s="74" t="str">
        <f ca="1">'State Requirements'!C26</f>
        <v/>
      </c>
      <c r="E295" s="74" t="str">
        <f>'State Requirements'!E26</f>
        <v>Select rating</v>
      </c>
      <c r="F295" s="74">
        <f ca="1">'State Requirements'!F26</f>
        <v>0</v>
      </c>
      <c r="G295" s="74">
        <f ca="1">'State Requirements'!G26</f>
        <v>0</v>
      </c>
      <c r="H295" s="74">
        <f>'State Requirements'!H26</f>
        <v>0</v>
      </c>
      <c r="I295" s="74">
        <f>'State Requirements'!I26</f>
        <v>0</v>
      </c>
      <c r="J295" s="74" t="str">
        <f ca="1">'State Requirements'!J26</f>
        <v/>
      </c>
      <c r="K295" s="74">
        <f>IF('State Requirements'!E26="Very High",5,IF('State Requirements'!E26="High",4,IF('State Requirements'!E26="Moderate",3,IF('State Requirements'!E26="Low",2,IF('State Requirements'!E26="Best Practice",1,0)))))</f>
        <v>0</v>
      </c>
      <c r="L295" s="74">
        <f>'State Requirements'!K26</f>
        <v>0</v>
      </c>
    </row>
    <row r="296" spans="1:12" ht="14.25" customHeight="1" x14ac:dyDescent="0.45">
      <c r="A296" s="74" t="s">
        <v>1558</v>
      </c>
      <c r="B296" s="74" t="str">
        <f ca="1">'State Requirements'!A27</f>
        <v/>
      </c>
      <c r="C296" s="74" t="str">
        <f ca="1">'State Requirements'!B27</f>
        <v/>
      </c>
      <c r="D296" s="74" t="str">
        <f ca="1">'State Requirements'!C27</f>
        <v/>
      </c>
      <c r="E296" s="74" t="str">
        <f>'State Requirements'!E27</f>
        <v>Select rating</v>
      </c>
      <c r="F296" s="74">
        <f ca="1">'State Requirements'!F27</f>
        <v>0</v>
      </c>
      <c r="G296" s="74">
        <f ca="1">'State Requirements'!G27</f>
        <v>0</v>
      </c>
      <c r="H296" s="74">
        <f>'State Requirements'!H27</f>
        <v>0</v>
      </c>
      <c r="I296" s="74">
        <f>'State Requirements'!I27</f>
        <v>0</v>
      </c>
      <c r="J296" s="74" t="str">
        <f ca="1">'State Requirements'!J27</f>
        <v/>
      </c>
      <c r="K296" s="74">
        <f>IF('State Requirements'!E27="Very High",5,IF('State Requirements'!E27="High",4,IF('State Requirements'!E27="Moderate",3,IF('State Requirements'!E27="Low",2,IF('State Requirements'!E27="Best Practice",1,0)))))</f>
        <v>0</v>
      </c>
      <c r="L296" s="74">
        <f>'State Requirements'!K27</f>
        <v>0</v>
      </c>
    </row>
    <row r="297" spans="1:12" ht="14.25" customHeight="1" x14ac:dyDescent="0.45">
      <c r="A297" s="74" t="s">
        <v>1558</v>
      </c>
      <c r="B297" s="74" t="str">
        <f ca="1">'State Requirements'!A28</f>
        <v/>
      </c>
      <c r="C297" s="74" t="str">
        <f ca="1">'State Requirements'!B28</f>
        <v/>
      </c>
      <c r="D297" s="74" t="str">
        <f ca="1">'State Requirements'!C28</f>
        <v/>
      </c>
      <c r="E297" s="74" t="str">
        <f>'State Requirements'!E28</f>
        <v>Select rating</v>
      </c>
      <c r="F297" s="74">
        <f ca="1">'State Requirements'!F28</f>
        <v>0</v>
      </c>
      <c r="G297" s="74">
        <f ca="1">'State Requirements'!G28</f>
        <v>0</v>
      </c>
      <c r="H297" s="74">
        <f>'State Requirements'!H28</f>
        <v>0</v>
      </c>
      <c r="I297" s="74">
        <f>'State Requirements'!I28</f>
        <v>0</v>
      </c>
      <c r="J297" s="74" t="str">
        <f ca="1">'State Requirements'!J28</f>
        <v/>
      </c>
      <c r="K297" s="74">
        <f>IF('State Requirements'!E28="Very High",5,IF('State Requirements'!E28="High",4,IF('State Requirements'!E28="Moderate",3,IF('State Requirements'!E28="Low",2,IF('State Requirements'!E28="Best Practice",1,0)))))</f>
        <v>0</v>
      </c>
      <c r="L297" s="74">
        <f>'State Requirements'!K28</f>
        <v>0</v>
      </c>
    </row>
  </sheetData>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89"/>
  <sheetViews>
    <sheetView workbookViewId="0"/>
  </sheetViews>
  <sheetFormatPr defaultColWidth="8.6640625" defaultRowHeight="14.25" x14ac:dyDescent="0.45"/>
  <cols>
    <col min="1" max="1" width="30" customWidth="1"/>
    <col min="2" max="2" width="6" customWidth="1"/>
    <col min="3" max="3" width="12" customWidth="1"/>
    <col min="4" max="4" width="20" customWidth="1"/>
    <col min="5" max="6" width="60" customWidth="1"/>
    <col min="7" max="7" width="30" customWidth="1"/>
    <col min="8" max="8" width="10" customWidth="1"/>
    <col min="9" max="9" width="20" customWidth="1"/>
  </cols>
  <sheetData>
    <row r="1" spans="1:9" ht="15" customHeight="1" x14ac:dyDescent="0.45">
      <c r="A1" s="78" t="s">
        <v>1559</v>
      </c>
      <c r="B1" s="78" t="s">
        <v>1560</v>
      </c>
      <c r="C1" s="78" t="s">
        <v>1561</v>
      </c>
      <c r="D1" s="78" t="s">
        <v>193</v>
      </c>
      <c r="E1" s="78" t="s">
        <v>6</v>
      </c>
      <c r="F1" s="78" t="s">
        <v>1562</v>
      </c>
      <c r="G1" s="78" t="s">
        <v>9</v>
      </c>
      <c r="H1" s="78" t="s">
        <v>1563</v>
      </c>
      <c r="I1" s="78" t="s">
        <v>1564</v>
      </c>
    </row>
    <row r="2" spans="1:9" ht="15" customHeight="1" x14ac:dyDescent="0.45">
      <c r="A2" t="s">
        <v>43</v>
      </c>
      <c r="B2">
        <v>1</v>
      </c>
      <c r="C2" t="s">
        <v>1565</v>
      </c>
      <c r="D2" t="s">
        <v>1566</v>
      </c>
      <c r="E2" t="s">
        <v>1567</v>
      </c>
      <c r="F2" t="s">
        <v>1568</v>
      </c>
      <c r="G2" t="s">
        <v>1569</v>
      </c>
      <c r="H2">
        <v>10</v>
      </c>
      <c r="I2" t="str">
        <f t="shared" ref="I2:I33" si="0">A2&amp;"|"&amp;TEXT(B2,"00")</f>
        <v>California (Cal/OSHA)|01</v>
      </c>
    </row>
    <row r="3" spans="1:9" ht="15" customHeight="1" x14ac:dyDescent="0.45">
      <c r="A3" t="s">
        <v>43</v>
      </c>
      <c r="B3">
        <v>2</v>
      </c>
      <c r="C3" t="s">
        <v>1570</v>
      </c>
      <c r="D3" t="s">
        <v>1571</v>
      </c>
      <c r="E3" t="s">
        <v>1572</v>
      </c>
      <c r="F3" t="s">
        <v>1573</v>
      </c>
      <c r="G3" t="s">
        <v>1574</v>
      </c>
      <c r="H3">
        <v>10</v>
      </c>
      <c r="I3" t="str">
        <f t="shared" si="0"/>
        <v>California (Cal/OSHA)|02</v>
      </c>
    </row>
    <row r="4" spans="1:9" ht="15" customHeight="1" x14ac:dyDescent="0.45">
      <c r="A4" t="s">
        <v>43</v>
      </c>
      <c r="B4">
        <v>3</v>
      </c>
      <c r="C4" t="s">
        <v>1575</v>
      </c>
      <c r="D4" t="s">
        <v>1576</v>
      </c>
      <c r="E4" t="s">
        <v>1577</v>
      </c>
      <c r="F4" t="s">
        <v>1578</v>
      </c>
      <c r="G4" t="s">
        <v>1579</v>
      </c>
      <c r="H4">
        <v>8</v>
      </c>
      <c r="I4" t="str">
        <f t="shared" si="0"/>
        <v>California (Cal/OSHA)|03</v>
      </c>
    </row>
    <row r="5" spans="1:9" ht="15" customHeight="1" x14ac:dyDescent="0.45">
      <c r="A5" t="s">
        <v>43</v>
      </c>
      <c r="B5">
        <v>4</v>
      </c>
      <c r="C5" t="s">
        <v>1580</v>
      </c>
      <c r="D5" t="s">
        <v>1581</v>
      </c>
      <c r="E5" t="s">
        <v>1582</v>
      </c>
      <c r="F5" t="s">
        <v>1583</v>
      </c>
      <c r="G5" t="s">
        <v>1584</v>
      </c>
      <c r="H5">
        <v>8</v>
      </c>
      <c r="I5" t="str">
        <f t="shared" si="0"/>
        <v>California (Cal/OSHA)|04</v>
      </c>
    </row>
    <row r="6" spans="1:9" ht="15" customHeight="1" x14ac:dyDescent="0.45">
      <c r="A6" t="s">
        <v>43</v>
      </c>
      <c r="B6">
        <v>5</v>
      </c>
      <c r="C6" t="s">
        <v>1585</v>
      </c>
      <c r="D6" t="s">
        <v>1586</v>
      </c>
      <c r="E6" t="s">
        <v>1587</v>
      </c>
      <c r="F6" t="s">
        <v>1588</v>
      </c>
      <c r="G6" t="s">
        <v>1589</v>
      </c>
      <c r="H6">
        <v>10</v>
      </c>
      <c r="I6" t="str">
        <f t="shared" si="0"/>
        <v>California (Cal/OSHA)|05</v>
      </c>
    </row>
    <row r="7" spans="1:9" ht="15" customHeight="1" x14ac:dyDescent="0.45">
      <c r="A7" t="s">
        <v>43</v>
      </c>
      <c r="B7">
        <v>6</v>
      </c>
      <c r="C7" t="s">
        <v>1590</v>
      </c>
      <c r="D7" t="s">
        <v>1591</v>
      </c>
      <c r="E7" t="s">
        <v>1592</v>
      </c>
      <c r="F7" t="s">
        <v>1593</v>
      </c>
      <c r="G7" t="s">
        <v>1594</v>
      </c>
      <c r="H7">
        <v>6</v>
      </c>
      <c r="I7" t="str">
        <f t="shared" si="0"/>
        <v>California (Cal/OSHA)|06</v>
      </c>
    </row>
    <row r="8" spans="1:9" ht="15" customHeight="1" x14ac:dyDescent="0.45">
      <c r="A8" t="s">
        <v>43</v>
      </c>
      <c r="B8">
        <v>7</v>
      </c>
      <c r="C8" t="s">
        <v>1595</v>
      </c>
      <c r="D8" t="s">
        <v>1596</v>
      </c>
      <c r="E8" t="s">
        <v>1597</v>
      </c>
      <c r="F8" t="s">
        <v>1598</v>
      </c>
      <c r="G8" t="s">
        <v>1599</v>
      </c>
      <c r="H8">
        <v>8</v>
      </c>
      <c r="I8" t="str">
        <f t="shared" si="0"/>
        <v>California (Cal/OSHA)|07</v>
      </c>
    </row>
    <row r="9" spans="1:9" ht="15" customHeight="1" x14ac:dyDescent="0.45">
      <c r="A9" t="s">
        <v>43</v>
      </c>
      <c r="B9">
        <v>8</v>
      </c>
      <c r="C9" t="s">
        <v>1600</v>
      </c>
      <c r="D9" t="s">
        <v>1601</v>
      </c>
      <c r="E9" t="s">
        <v>1602</v>
      </c>
      <c r="F9" t="s">
        <v>1603</v>
      </c>
      <c r="G9" t="s">
        <v>1604</v>
      </c>
      <c r="H9">
        <v>6</v>
      </c>
      <c r="I9" t="str">
        <f t="shared" si="0"/>
        <v>California (Cal/OSHA)|08</v>
      </c>
    </row>
    <row r="10" spans="1:9" ht="15" customHeight="1" x14ac:dyDescent="0.45">
      <c r="A10" t="s">
        <v>43</v>
      </c>
      <c r="B10">
        <v>9</v>
      </c>
      <c r="C10" t="s">
        <v>1605</v>
      </c>
      <c r="D10" t="s">
        <v>1606</v>
      </c>
      <c r="E10" t="s">
        <v>1607</v>
      </c>
      <c r="F10" t="s">
        <v>1608</v>
      </c>
      <c r="G10" t="s">
        <v>1609</v>
      </c>
      <c r="H10">
        <v>6</v>
      </c>
      <c r="I10" t="str">
        <f t="shared" si="0"/>
        <v>California (Cal/OSHA)|09</v>
      </c>
    </row>
    <row r="11" spans="1:9" ht="15" customHeight="1" x14ac:dyDescent="0.45">
      <c r="A11" t="s">
        <v>43</v>
      </c>
      <c r="B11">
        <v>10</v>
      </c>
      <c r="C11" t="s">
        <v>1610</v>
      </c>
      <c r="D11" t="s">
        <v>1611</v>
      </c>
      <c r="E11" t="s">
        <v>1612</v>
      </c>
      <c r="F11" t="s">
        <v>1613</v>
      </c>
      <c r="G11" t="s">
        <v>1614</v>
      </c>
      <c r="H11">
        <v>6</v>
      </c>
      <c r="I11" t="str">
        <f t="shared" si="0"/>
        <v>California (Cal/OSHA)|10</v>
      </c>
    </row>
    <row r="12" spans="1:9" ht="15" customHeight="1" x14ac:dyDescent="0.45">
      <c r="A12" t="s">
        <v>1615</v>
      </c>
      <c r="B12">
        <v>1</v>
      </c>
      <c r="C12" t="s">
        <v>1616</v>
      </c>
      <c r="D12" t="s">
        <v>1617</v>
      </c>
      <c r="E12" t="s">
        <v>1618</v>
      </c>
      <c r="F12" t="s">
        <v>1619</v>
      </c>
      <c r="G12" t="s">
        <v>1620</v>
      </c>
      <c r="H12">
        <v>10</v>
      </c>
      <c r="I12" t="str">
        <f t="shared" si="0"/>
        <v>Michigan (MIOSHA)|01</v>
      </c>
    </row>
    <row r="13" spans="1:9" ht="15" customHeight="1" x14ac:dyDescent="0.45">
      <c r="A13" t="s">
        <v>1615</v>
      </c>
      <c r="B13">
        <v>2</v>
      </c>
      <c r="C13" t="s">
        <v>1621</v>
      </c>
      <c r="D13" t="s">
        <v>1622</v>
      </c>
      <c r="E13" t="s">
        <v>1623</v>
      </c>
      <c r="F13" t="s">
        <v>1624</v>
      </c>
      <c r="G13" t="s">
        <v>1625</v>
      </c>
      <c r="H13">
        <v>6</v>
      </c>
      <c r="I13" t="str">
        <f t="shared" si="0"/>
        <v>Michigan (MIOSHA)|02</v>
      </c>
    </row>
    <row r="14" spans="1:9" ht="15" customHeight="1" x14ac:dyDescent="0.45">
      <c r="A14" t="s">
        <v>1615</v>
      </c>
      <c r="B14">
        <v>3</v>
      </c>
      <c r="C14" t="s">
        <v>1626</v>
      </c>
      <c r="D14" t="s">
        <v>1627</v>
      </c>
      <c r="E14" t="s">
        <v>1628</v>
      </c>
      <c r="F14" t="s">
        <v>1629</v>
      </c>
      <c r="G14" t="s">
        <v>1630</v>
      </c>
      <c r="H14">
        <v>4</v>
      </c>
      <c r="I14" t="str">
        <f t="shared" si="0"/>
        <v>Michigan (MIOSHA)|03</v>
      </c>
    </row>
    <row r="15" spans="1:9" ht="15" customHeight="1" x14ac:dyDescent="0.45">
      <c r="A15" t="s">
        <v>1615</v>
      </c>
      <c r="B15">
        <v>4</v>
      </c>
      <c r="C15" t="s">
        <v>1631</v>
      </c>
      <c r="D15" t="s">
        <v>1632</v>
      </c>
      <c r="E15" t="s">
        <v>1633</v>
      </c>
      <c r="F15" t="s">
        <v>1634</v>
      </c>
      <c r="G15" t="s">
        <v>1635</v>
      </c>
      <c r="H15">
        <v>6</v>
      </c>
      <c r="I15" t="str">
        <f t="shared" si="0"/>
        <v>Michigan (MIOSHA)|04</v>
      </c>
    </row>
    <row r="16" spans="1:9" ht="15" customHeight="1" x14ac:dyDescent="0.45">
      <c r="A16" t="s">
        <v>1615</v>
      </c>
      <c r="B16">
        <v>5</v>
      </c>
      <c r="C16" t="s">
        <v>1636</v>
      </c>
      <c r="D16" t="s">
        <v>1637</v>
      </c>
      <c r="E16" t="s">
        <v>1638</v>
      </c>
      <c r="F16" t="s">
        <v>1639</v>
      </c>
      <c r="G16" t="s">
        <v>1640</v>
      </c>
      <c r="H16">
        <v>4</v>
      </c>
      <c r="I16" t="str">
        <f t="shared" si="0"/>
        <v>Michigan (MIOSHA)|05</v>
      </c>
    </row>
    <row r="17" spans="1:9" ht="15" customHeight="1" x14ac:dyDescent="0.45">
      <c r="A17" t="s">
        <v>1615</v>
      </c>
      <c r="B17">
        <v>6</v>
      </c>
      <c r="C17" t="s">
        <v>1641</v>
      </c>
      <c r="D17" t="s">
        <v>1642</v>
      </c>
      <c r="E17" t="s">
        <v>1643</v>
      </c>
      <c r="F17" t="s">
        <v>1644</v>
      </c>
      <c r="G17" t="s">
        <v>1645</v>
      </c>
      <c r="H17">
        <v>6</v>
      </c>
      <c r="I17" t="str">
        <f t="shared" si="0"/>
        <v>Michigan (MIOSHA)|06</v>
      </c>
    </row>
    <row r="18" spans="1:9" ht="15" customHeight="1" x14ac:dyDescent="0.45">
      <c r="A18" t="s">
        <v>1646</v>
      </c>
      <c r="B18">
        <v>1</v>
      </c>
      <c r="C18" t="s">
        <v>1647</v>
      </c>
      <c r="D18" t="s">
        <v>1648</v>
      </c>
      <c r="E18" t="s">
        <v>1649</v>
      </c>
      <c r="F18" t="s">
        <v>1650</v>
      </c>
      <c r="G18" t="s">
        <v>1651</v>
      </c>
      <c r="H18">
        <v>10</v>
      </c>
      <c r="I18" t="str">
        <f t="shared" si="0"/>
        <v>Washington (WISHA)|01</v>
      </c>
    </row>
    <row r="19" spans="1:9" ht="15" customHeight="1" x14ac:dyDescent="0.45">
      <c r="A19" t="s">
        <v>1646</v>
      </c>
      <c r="B19">
        <v>2</v>
      </c>
      <c r="C19" t="s">
        <v>1652</v>
      </c>
      <c r="D19" t="s">
        <v>1653</v>
      </c>
      <c r="E19" t="s">
        <v>1654</v>
      </c>
      <c r="F19" t="s">
        <v>1655</v>
      </c>
      <c r="G19" t="s">
        <v>1656</v>
      </c>
      <c r="H19">
        <v>8</v>
      </c>
      <c r="I19" t="str">
        <f t="shared" si="0"/>
        <v>Washington (WISHA)|02</v>
      </c>
    </row>
    <row r="20" spans="1:9" ht="15" customHeight="1" x14ac:dyDescent="0.45">
      <c r="A20" t="s">
        <v>1646</v>
      </c>
      <c r="B20">
        <v>3</v>
      </c>
      <c r="C20" t="s">
        <v>1657</v>
      </c>
      <c r="D20" t="s">
        <v>1658</v>
      </c>
      <c r="E20" t="s">
        <v>1659</v>
      </c>
      <c r="F20" t="s">
        <v>1660</v>
      </c>
      <c r="G20" t="s">
        <v>1661</v>
      </c>
      <c r="H20">
        <v>8</v>
      </c>
      <c r="I20" t="str">
        <f t="shared" si="0"/>
        <v>Washington (WISHA)|03</v>
      </c>
    </row>
    <row r="21" spans="1:9" ht="15" customHeight="1" x14ac:dyDescent="0.45">
      <c r="A21" t="s">
        <v>1646</v>
      </c>
      <c r="B21">
        <v>4</v>
      </c>
      <c r="C21" t="s">
        <v>1662</v>
      </c>
      <c r="D21" t="s">
        <v>1611</v>
      </c>
      <c r="E21" t="s">
        <v>1663</v>
      </c>
      <c r="F21" t="s">
        <v>1664</v>
      </c>
      <c r="G21" t="s">
        <v>1665</v>
      </c>
      <c r="H21">
        <v>4</v>
      </c>
      <c r="I21" t="str">
        <f t="shared" si="0"/>
        <v>Washington (WISHA)|04</v>
      </c>
    </row>
    <row r="22" spans="1:9" ht="15" customHeight="1" x14ac:dyDescent="0.45">
      <c r="A22" t="s">
        <v>1646</v>
      </c>
      <c r="B22">
        <v>5</v>
      </c>
      <c r="C22" t="s">
        <v>1666</v>
      </c>
      <c r="D22" t="s">
        <v>1667</v>
      </c>
      <c r="E22" t="s">
        <v>1668</v>
      </c>
      <c r="F22" t="s">
        <v>1669</v>
      </c>
      <c r="G22" t="s">
        <v>1670</v>
      </c>
      <c r="H22">
        <v>6</v>
      </c>
      <c r="I22" t="str">
        <f t="shared" si="0"/>
        <v>Washington (WISHA)|05</v>
      </c>
    </row>
    <row r="23" spans="1:9" ht="15" customHeight="1" x14ac:dyDescent="0.45">
      <c r="A23" t="s">
        <v>1646</v>
      </c>
      <c r="B23">
        <v>6</v>
      </c>
      <c r="C23" t="s">
        <v>1671</v>
      </c>
      <c r="D23" t="s">
        <v>1672</v>
      </c>
      <c r="E23" t="s">
        <v>1673</v>
      </c>
      <c r="F23" t="s">
        <v>1674</v>
      </c>
      <c r="G23" t="s">
        <v>1675</v>
      </c>
      <c r="H23">
        <v>4</v>
      </c>
      <c r="I23" t="str">
        <f t="shared" si="0"/>
        <v>Washington (WISHA)|06</v>
      </c>
    </row>
    <row r="24" spans="1:9" ht="15" customHeight="1" x14ac:dyDescent="0.45">
      <c r="A24" t="s">
        <v>1646</v>
      </c>
      <c r="B24">
        <v>7</v>
      </c>
      <c r="C24" t="s">
        <v>1676</v>
      </c>
      <c r="D24" t="s">
        <v>1677</v>
      </c>
      <c r="E24" t="s">
        <v>1678</v>
      </c>
      <c r="F24" t="s">
        <v>1679</v>
      </c>
      <c r="G24" t="s">
        <v>1680</v>
      </c>
      <c r="H24">
        <v>4</v>
      </c>
      <c r="I24" t="str">
        <f t="shared" si="0"/>
        <v>Washington (WISHA)|07</v>
      </c>
    </row>
    <row r="25" spans="1:9" ht="15" customHeight="1" x14ac:dyDescent="0.45">
      <c r="A25" t="s">
        <v>1681</v>
      </c>
      <c r="B25">
        <v>1</v>
      </c>
      <c r="C25" t="s">
        <v>1682</v>
      </c>
      <c r="D25" t="s">
        <v>1648</v>
      </c>
      <c r="E25" t="s">
        <v>1683</v>
      </c>
      <c r="F25" t="s">
        <v>1684</v>
      </c>
      <c r="G25" t="s">
        <v>1685</v>
      </c>
      <c r="H25">
        <v>10</v>
      </c>
      <c r="I25" t="str">
        <f t="shared" si="0"/>
        <v>Oregon (OR-OSHA)|01</v>
      </c>
    </row>
    <row r="26" spans="1:9" ht="15" customHeight="1" x14ac:dyDescent="0.45">
      <c r="A26" t="s">
        <v>1681</v>
      </c>
      <c r="B26">
        <v>2</v>
      </c>
      <c r="C26" t="s">
        <v>1686</v>
      </c>
      <c r="D26" t="s">
        <v>1653</v>
      </c>
      <c r="E26" t="s">
        <v>1687</v>
      </c>
      <c r="F26" t="s">
        <v>1688</v>
      </c>
      <c r="G26" t="s">
        <v>1689</v>
      </c>
      <c r="H26">
        <v>8</v>
      </c>
      <c r="I26" t="str">
        <f t="shared" si="0"/>
        <v>Oregon (OR-OSHA)|02</v>
      </c>
    </row>
    <row r="27" spans="1:9" ht="15" customHeight="1" x14ac:dyDescent="0.45">
      <c r="A27" t="s">
        <v>1681</v>
      </c>
      <c r="B27">
        <v>3</v>
      </c>
      <c r="C27" t="s">
        <v>1690</v>
      </c>
      <c r="D27" t="s">
        <v>1691</v>
      </c>
      <c r="E27" t="s">
        <v>1692</v>
      </c>
      <c r="F27" t="s">
        <v>1693</v>
      </c>
      <c r="G27" t="s">
        <v>1694</v>
      </c>
      <c r="H27">
        <v>8</v>
      </c>
      <c r="I27" t="str">
        <f t="shared" si="0"/>
        <v>Oregon (OR-OSHA)|03</v>
      </c>
    </row>
    <row r="28" spans="1:9" ht="15" customHeight="1" x14ac:dyDescent="0.45">
      <c r="A28" t="s">
        <v>1681</v>
      </c>
      <c r="B28">
        <v>4</v>
      </c>
      <c r="C28" t="s">
        <v>1695</v>
      </c>
      <c r="D28" t="s">
        <v>1611</v>
      </c>
      <c r="E28" t="s">
        <v>1696</v>
      </c>
      <c r="F28" t="s">
        <v>1697</v>
      </c>
      <c r="G28" t="s">
        <v>1698</v>
      </c>
      <c r="H28">
        <v>4</v>
      </c>
      <c r="I28" t="str">
        <f t="shared" si="0"/>
        <v>Oregon (OR-OSHA)|04</v>
      </c>
    </row>
    <row r="29" spans="1:9" ht="15" customHeight="1" x14ac:dyDescent="0.45">
      <c r="A29" t="s">
        <v>1681</v>
      </c>
      <c r="B29">
        <v>5</v>
      </c>
      <c r="C29" t="s">
        <v>1699</v>
      </c>
      <c r="D29" t="s">
        <v>1700</v>
      </c>
      <c r="E29" t="s">
        <v>1701</v>
      </c>
      <c r="F29" t="s">
        <v>1702</v>
      </c>
      <c r="G29" t="s">
        <v>1703</v>
      </c>
      <c r="H29">
        <v>4</v>
      </c>
      <c r="I29" t="str">
        <f t="shared" si="0"/>
        <v>Oregon (OR-OSHA)|05</v>
      </c>
    </row>
    <row r="30" spans="1:9" ht="15" customHeight="1" x14ac:dyDescent="0.45">
      <c r="A30" t="s">
        <v>1704</v>
      </c>
      <c r="B30">
        <v>1</v>
      </c>
      <c r="C30" t="s">
        <v>1705</v>
      </c>
      <c r="D30" t="s">
        <v>1706</v>
      </c>
      <c r="E30" t="s">
        <v>1707</v>
      </c>
      <c r="F30" t="s">
        <v>1708</v>
      </c>
      <c r="G30" t="s">
        <v>1709</v>
      </c>
      <c r="H30">
        <v>10</v>
      </c>
      <c r="I30" t="str">
        <f t="shared" si="0"/>
        <v>Minnesota (MN OSHA)|01</v>
      </c>
    </row>
    <row r="31" spans="1:9" ht="15" customHeight="1" x14ac:dyDescent="0.45">
      <c r="A31" t="s">
        <v>1704</v>
      </c>
      <c r="B31">
        <v>2</v>
      </c>
      <c r="C31" t="s">
        <v>1710</v>
      </c>
      <c r="D31" t="s">
        <v>1711</v>
      </c>
      <c r="E31" t="s">
        <v>1712</v>
      </c>
      <c r="F31" t="s">
        <v>1713</v>
      </c>
      <c r="G31" t="s">
        <v>1714</v>
      </c>
      <c r="H31">
        <v>8</v>
      </c>
      <c r="I31" t="str">
        <f t="shared" si="0"/>
        <v>Minnesota (MN OSHA)|02</v>
      </c>
    </row>
    <row r="32" spans="1:9" ht="15" customHeight="1" x14ac:dyDescent="0.45">
      <c r="A32" t="s">
        <v>1704</v>
      </c>
      <c r="B32">
        <v>3</v>
      </c>
      <c r="C32" t="s">
        <v>1715</v>
      </c>
      <c r="D32" t="s">
        <v>1716</v>
      </c>
      <c r="E32" t="s">
        <v>1717</v>
      </c>
      <c r="F32" t="s">
        <v>1718</v>
      </c>
      <c r="G32" t="s">
        <v>1719</v>
      </c>
      <c r="H32">
        <v>6</v>
      </c>
      <c r="I32" t="str">
        <f t="shared" si="0"/>
        <v>Minnesota (MN OSHA)|03</v>
      </c>
    </row>
    <row r="33" spans="1:9" ht="15" customHeight="1" x14ac:dyDescent="0.45">
      <c r="A33" t="s">
        <v>1704</v>
      </c>
      <c r="B33">
        <v>4</v>
      </c>
      <c r="C33" t="s">
        <v>1720</v>
      </c>
      <c r="D33" t="s">
        <v>1611</v>
      </c>
      <c r="E33" t="s">
        <v>1721</v>
      </c>
      <c r="F33" t="s">
        <v>1722</v>
      </c>
      <c r="G33" t="s">
        <v>1723</v>
      </c>
      <c r="H33">
        <v>4</v>
      </c>
      <c r="I33" t="str">
        <f t="shared" si="0"/>
        <v>Minnesota (MN OSHA)|04</v>
      </c>
    </row>
    <row r="34" spans="1:9" ht="15" customHeight="1" x14ac:dyDescent="0.45">
      <c r="A34" t="s">
        <v>1704</v>
      </c>
      <c r="B34">
        <v>5</v>
      </c>
      <c r="C34" t="s">
        <v>1724</v>
      </c>
      <c r="D34" t="s">
        <v>104</v>
      </c>
      <c r="E34" t="s">
        <v>1725</v>
      </c>
      <c r="F34" t="s">
        <v>1726</v>
      </c>
      <c r="G34" t="s">
        <v>1727</v>
      </c>
      <c r="H34">
        <v>4</v>
      </c>
      <c r="I34" t="str">
        <f t="shared" ref="I34:I65" si="1">A34&amp;"|"&amp;TEXT(B34,"00")</f>
        <v>Minnesota (MN OSHA)|05</v>
      </c>
    </row>
    <row r="35" spans="1:9" ht="15" customHeight="1" x14ac:dyDescent="0.45">
      <c r="A35" t="s">
        <v>1728</v>
      </c>
      <c r="B35">
        <v>1</v>
      </c>
      <c r="C35" t="s">
        <v>1729</v>
      </c>
      <c r="D35" t="s">
        <v>1730</v>
      </c>
      <c r="E35" t="s">
        <v>1731</v>
      </c>
      <c r="F35" t="s">
        <v>1732</v>
      </c>
      <c r="G35" t="s">
        <v>1733</v>
      </c>
      <c r="H35">
        <v>8</v>
      </c>
      <c r="I35" t="str">
        <f t="shared" si="1"/>
        <v>Indiana (IN IOSHA)|01</v>
      </c>
    </row>
    <row r="36" spans="1:9" ht="15" customHeight="1" x14ac:dyDescent="0.45">
      <c r="A36" t="s">
        <v>1728</v>
      </c>
      <c r="B36">
        <v>2</v>
      </c>
      <c r="C36" t="s">
        <v>1734</v>
      </c>
      <c r="D36" t="s">
        <v>1735</v>
      </c>
      <c r="E36" t="s">
        <v>1736</v>
      </c>
      <c r="F36" t="s">
        <v>1737</v>
      </c>
      <c r="G36" t="s">
        <v>1738</v>
      </c>
      <c r="H36">
        <v>6</v>
      </c>
      <c r="I36" t="str">
        <f t="shared" si="1"/>
        <v>Indiana (IN IOSHA)|02</v>
      </c>
    </row>
    <row r="37" spans="1:9" ht="15" customHeight="1" x14ac:dyDescent="0.45">
      <c r="A37" t="s">
        <v>1728</v>
      </c>
      <c r="B37">
        <v>3</v>
      </c>
      <c r="C37" t="s">
        <v>1739</v>
      </c>
      <c r="D37" t="s">
        <v>1740</v>
      </c>
      <c r="E37" t="s">
        <v>1741</v>
      </c>
      <c r="F37" t="s">
        <v>1742</v>
      </c>
      <c r="G37" t="s">
        <v>1743</v>
      </c>
      <c r="H37">
        <v>6</v>
      </c>
      <c r="I37" t="str">
        <f t="shared" si="1"/>
        <v>Indiana (IN IOSHA)|03</v>
      </c>
    </row>
    <row r="38" spans="1:9" ht="15" customHeight="1" x14ac:dyDescent="0.45">
      <c r="A38" t="s">
        <v>1728</v>
      </c>
      <c r="B38">
        <v>4</v>
      </c>
      <c r="C38" t="s">
        <v>1744</v>
      </c>
      <c r="D38" t="s">
        <v>1745</v>
      </c>
      <c r="E38" t="s">
        <v>1746</v>
      </c>
      <c r="F38" t="s">
        <v>1747</v>
      </c>
      <c r="G38" t="s">
        <v>1748</v>
      </c>
      <c r="H38">
        <v>4</v>
      </c>
      <c r="I38" t="str">
        <f t="shared" si="1"/>
        <v>Indiana (IN IOSHA)|04</v>
      </c>
    </row>
    <row r="39" spans="1:9" ht="15" customHeight="1" x14ac:dyDescent="0.45">
      <c r="A39" t="s">
        <v>1749</v>
      </c>
      <c r="B39">
        <v>1</v>
      </c>
      <c r="C39" t="s">
        <v>1750</v>
      </c>
      <c r="D39" t="s">
        <v>1611</v>
      </c>
      <c r="E39" t="s">
        <v>1751</v>
      </c>
      <c r="F39" t="s">
        <v>1752</v>
      </c>
      <c r="G39" t="s">
        <v>1753</v>
      </c>
      <c r="H39">
        <v>4</v>
      </c>
      <c r="I39" t="str">
        <f t="shared" si="1"/>
        <v>North Carolina (NC DOL OSH)|01</v>
      </c>
    </row>
    <row r="40" spans="1:9" ht="15" customHeight="1" x14ac:dyDescent="0.45">
      <c r="A40" t="s">
        <v>1749</v>
      </c>
      <c r="B40">
        <v>2</v>
      </c>
      <c r="C40" t="s">
        <v>1754</v>
      </c>
      <c r="D40" t="s">
        <v>1755</v>
      </c>
      <c r="E40" t="s">
        <v>1756</v>
      </c>
      <c r="F40" t="s">
        <v>1757</v>
      </c>
      <c r="G40" t="s">
        <v>1758</v>
      </c>
      <c r="H40">
        <v>6</v>
      </c>
      <c r="I40" t="str">
        <f t="shared" si="1"/>
        <v>North Carolina (NC DOL OSH)|02</v>
      </c>
    </row>
    <row r="41" spans="1:9" ht="15" customHeight="1" x14ac:dyDescent="0.45">
      <c r="A41" t="s">
        <v>1749</v>
      </c>
      <c r="B41">
        <v>3</v>
      </c>
      <c r="C41" t="s">
        <v>1759</v>
      </c>
      <c r="D41" t="s">
        <v>1760</v>
      </c>
      <c r="E41" t="s">
        <v>1761</v>
      </c>
      <c r="F41" t="s">
        <v>1762</v>
      </c>
      <c r="G41" t="s">
        <v>1763</v>
      </c>
      <c r="H41">
        <v>4</v>
      </c>
      <c r="I41" t="str">
        <f t="shared" si="1"/>
        <v>North Carolina (NC DOL OSH)|03</v>
      </c>
    </row>
    <row r="42" spans="1:9" ht="15" customHeight="1" x14ac:dyDescent="0.45">
      <c r="A42" t="s">
        <v>1764</v>
      </c>
      <c r="B42">
        <v>1</v>
      </c>
      <c r="C42" t="s">
        <v>1765</v>
      </c>
      <c r="D42" t="s">
        <v>1611</v>
      </c>
      <c r="E42" t="s">
        <v>1766</v>
      </c>
      <c r="F42" t="s">
        <v>1767</v>
      </c>
      <c r="G42" t="s">
        <v>1768</v>
      </c>
      <c r="H42">
        <v>4</v>
      </c>
      <c r="I42" t="str">
        <f t="shared" si="1"/>
        <v>Virginia (VOSH)|01</v>
      </c>
    </row>
    <row r="43" spans="1:9" ht="15" customHeight="1" x14ac:dyDescent="0.45">
      <c r="A43" t="s">
        <v>1764</v>
      </c>
      <c r="B43">
        <v>2</v>
      </c>
      <c r="C43" t="s">
        <v>1769</v>
      </c>
      <c r="D43" t="s">
        <v>1755</v>
      </c>
      <c r="E43" t="s">
        <v>1770</v>
      </c>
      <c r="F43" t="s">
        <v>1771</v>
      </c>
      <c r="G43" t="s">
        <v>1772</v>
      </c>
      <c r="H43">
        <v>6</v>
      </c>
      <c r="I43" t="str">
        <f t="shared" si="1"/>
        <v>Virginia (VOSH)|02</v>
      </c>
    </row>
    <row r="44" spans="1:9" ht="15" customHeight="1" x14ac:dyDescent="0.45">
      <c r="A44" t="s">
        <v>1764</v>
      </c>
      <c r="B44">
        <v>3</v>
      </c>
      <c r="C44" t="s">
        <v>1773</v>
      </c>
      <c r="D44" t="s">
        <v>1760</v>
      </c>
      <c r="E44" t="s">
        <v>1774</v>
      </c>
      <c r="F44" t="s">
        <v>1775</v>
      </c>
      <c r="G44" t="s">
        <v>1776</v>
      </c>
      <c r="H44">
        <v>4</v>
      </c>
      <c r="I44" t="str">
        <f t="shared" si="1"/>
        <v>Virginia (VOSH)|03</v>
      </c>
    </row>
    <row r="45" spans="1:9" ht="15" customHeight="1" x14ac:dyDescent="0.45">
      <c r="A45" t="s">
        <v>1777</v>
      </c>
      <c r="B45">
        <v>1</v>
      </c>
      <c r="C45" t="s">
        <v>1778</v>
      </c>
      <c r="D45" t="s">
        <v>1611</v>
      </c>
      <c r="E45" t="s">
        <v>1779</v>
      </c>
      <c r="F45" t="s">
        <v>1780</v>
      </c>
      <c r="G45" t="s">
        <v>1781</v>
      </c>
      <c r="H45">
        <v>4</v>
      </c>
      <c r="I45" t="str">
        <f t="shared" si="1"/>
        <v>South Carolina (SC OSH)|01</v>
      </c>
    </row>
    <row r="46" spans="1:9" ht="15" customHeight="1" x14ac:dyDescent="0.45">
      <c r="A46" t="s">
        <v>1777</v>
      </c>
      <c r="B46">
        <v>2</v>
      </c>
      <c r="C46" t="s">
        <v>1782</v>
      </c>
      <c r="D46" t="s">
        <v>1755</v>
      </c>
      <c r="E46" t="s">
        <v>1783</v>
      </c>
      <c r="F46" t="s">
        <v>1784</v>
      </c>
      <c r="G46" t="s">
        <v>1785</v>
      </c>
      <c r="H46">
        <v>6</v>
      </c>
      <c r="I46" t="str">
        <f t="shared" si="1"/>
        <v>South Carolina (SC OSH)|02</v>
      </c>
    </row>
    <row r="47" spans="1:9" ht="15" customHeight="1" x14ac:dyDescent="0.45">
      <c r="A47" t="s">
        <v>1777</v>
      </c>
      <c r="B47">
        <v>3</v>
      </c>
      <c r="C47" t="s">
        <v>1786</v>
      </c>
      <c r="D47" t="s">
        <v>1760</v>
      </c>
      <c r="E47" t="s">
        <v>1787</v>
      </c>
      <c r="F47" t="s">
        <v>1788</v>
      </c>
      <c r="G47" t="s">
        <v>1789</v>
      </c>
      <c r="H47">
        <v>4</v>
      </c>
      <c r="I47" t="str">
        <f t="shared" si="1"/>
        <v>South Carolina (SC OSH)|03</v>
      </c>
    </row>
    <row r="48" spans="1:9" ht="15" customHeight="1" x14ac:dyDescent="0.45">
      <c r="A48" t="s">
        <v>1790</v>
      </c>
      <c r="B48">
        <v>1</v>
      </c>
      <c r="C48" t="s">
        <v>1791</v>
      </c>
      <c r="D48" t="s">
        <v>1611</v>
      </c>
      <c r="E48" t="s">
        <v>1792</v>
      </c>
      <c r="F48" t="s">
        <v>1793</v>
      </c>
      <c r="G48" t="s">
        <v>1794</v>
      </c>
      <c r="H48">
        <v>4</v>
      </c>
      <c r="I48" t="str">
        <f t="shared" si="1"/>
        <v>Alaska (AK OSHA)|01</v>
      </c>
    </row>
    <row r="49" spans="1:9" ht="15" customHeight="1" x14ac:dyDescent="0.45">
      <c r="A49" t="s">
        <v>1790</v>
      </c>
      <c r="B49">
        <v>2</v>
      </c>
      <c r="C49" t="s">
        <v>1795</v>
      </c>
      <c r="D49" t="s">
        <v>1796</v>
      </c>
      <c r="E49" t="s">
        <v>1797</v>
      </c>
      <c r="F49" t="s">
        <v>1798</v>
      </c>
      <c r="G49" t="s">
        <v>1799</v>
      </c>
      <c r="H49">
        <v>8</v>
      </c>
      <c r="I49" t="str">
        <f t="shared" si="1"/>
        <v>Alaska (AK OSHA)|02</v>
      </c>
    </row>
    <row r="50" spans="1:9" ht="15" customHeight="1" x14ac:dyDescent="0.45">
      <c r="A50" t="s">
        <v>1790</v>
      </c>
      <c r="B50">
        <v>3</v>
      </c>
      <c r="C50" t="s">
        <v>1800</v>
      </c>
      <c r="D50" t="s">
        <v>1755</v>
      </c>
      <c r="E50" t="s">
        <v>1801</v>
      </c>
      <c r="F50" t="s">
        <v>1802</v>
      </c>
      <c r="G50" t="s">
        <v>1803</v>
      </c>
      <c r="H50">
        <v>4</v>
      </c>
      <c r="I50" t="str">
        <f t="shared" si="1"/>
        <v>Alaska (AK OSHA)|03</v>
      </c>
    </row>
    <row r="51" spans="1:9" ht="15" customHeight="1" x14ac:dyDescent="0.45">
      <c r="A51" t="s">
        <v>1790</v>
      </c>
      <c r="B51">
        <v>4</v>
      </c>
      <c r="C51" t="s">
        <v>1804</v>
      </c>
      <c r="D51" t="s">
        <v>1760</v>
      </c>
      <c r="E51" t="s">
        <v>1805</v>
      </c>
      <c r="F51" t="s">
        <v>1806</v>
      </c>
      <c r="G51" t="s">
        <v>1807</v>
      </c>
      <c r="H51">
        <v>4</v>
      </c>
      <c r="I51" t="str">
        <f t="shared" si="1"/>
        <v>Alaska (AK OSHA)|04</v>
      </c>
    </row>
    <row r="52" spans="1:9" ht="15" customHeight="1" x14ac:dyDescent="0.45">
      <c r="A52" t="s">
        <v>1808</v>
      </c>
      <c r="B52">
        <v>1</v>
      </c>
      <c r="C52" t="s">
        <v>1809</v>
      </c>
      <c r="D52" t="s">
        <v>1611</v>
      </c>
      <c r="E52" t="s">
        <v>1810</v>
      </c>
      <c r="F52" t="s">
        <v>1811</v>
      </c>
      <c r="G52" t="s">
        <v>1812</v>
      </c>
      <c r="H52">
        <v>4</v>
      </c>
      <c r="I52" t="str">
        <f t="shared" si="1"/>
        <v>Arizona (AZ OSHA)|01</v>
      </c>
    </row>
    <row r="53" spans="1:9" ht="15" customHeight="1" x14ac:dyDescent="0.45">
      <c r="A53" t="s">
        <v>1808</v>
      </c>
      <c r="B53">
        <v>2</v>
      </c>
      <c r="C53" t="s">
        <v>1813</v>
      </c>
      <c r="D53" t="s">
        <v>1755</v>
      </c>
      <c r="E53" t="s">
        <v>1814</v>
      </c>
      <c r="F53" t="s">
        <v>1815</v>
      </c>
      <c r="G53" t="s">
        <v>1816</v>
      </c>
      <c r="H53">
        <v>4</v>
      </c>
      <c r="I53" t="str">
        <f t="shared" si="1"/>
        <v>Arizona (AZ OSHA)|02</v>
      </c>
    </row>
    <row r="54" spans="1:9" ht="15" customHeight="1" x14ac:dyDescent="0.45">
      <c r="A54" t="s">
        <v>1808</v>
      </c>
      <c r="B54">
        <v>3</v>
      </c>
      <c r="C54" t="s">
        <v>1817</v>
      </c>
      <c r="D54" t="s">
        <v>1760</v>
      </c>
      <c r="E54" t="s">
        <v>1818</v>
      </c>
      <c r="F54" t="s">
        <v>1819</v>
      </c>
      <c r="G54" t="s">
        <v>1820</v>
      </c>
      <c r="H54">
        <v>4</v>
      </c>
      <c r="I54" t="str">
        <f t="shared" si="1"/>
        <v>Arizona (AZ OSHA)|03</v>
      </c>
    </row>
    <row r="55" spans="1:9" ht="15" customHeight="1" x14ac:dyDescent="0.45">
      <c r="A55" t="s">
        <v>1821</v>
      </c>
      <c r="B55">
        <v>1</v>
      </c>
      <c r="C55" t="s">
        <v>1822</v>
      </c>
      <c r="D55" t="s">
        <v>1611</v>
      </c>
      <c r="E55" t="s">
        <v>1823</v>
      </c>
      <c r="F55" t="s">
        <v>1824</v>
      </c>
      <c r="G55" t="s">
        <v>1825</v>
      </c>
      <c r="H55">
        <v>4</v>
      </c>
      <c r="I55" t="str">
        <f t="shared" si="1"/>
        <v>Hawaii (HI OSHA)|01</v>
      </c>
    </row>
    <row r="56" spans="1:9" ht="15" customHeight="1" x14ac:dyDescent="0.45">
      <c r="A56" t="s">
        <v>1821</v>
      </c>
      <c r="B56">
        <v>2</v>
      </c>
      <c r="C56" t="s">
        <v>1826</v>
      </c>
      <c r="D56" t="s">
        <v>1755</v>
      </c>
      <c r="E56" t="s">
        <v>1827</v>
      </c>
      <c r="F56" t="s">
        <v>1828</v>
      </c>
      <c r="G56" t="s">
        <v>1829</v>
      </c>
      <c r="H56">
        <v>4</v>
      </c>
      <c r="I56" t="str">
        <f t="shared" si="1"/>
        <v>Hawaii (HI OSHA)|02</v>
      </c>
    </row>
    <row r="57" spans="1:9" ht="15" customHeight="1" x14ac:dyDescent="0.45">
      <c r="A57" t="s">
        <v>1821</v>
      </c>
      <c r="B57">
        <v>3</v>
      </c>
      <c r="C57" t="s">
        <v>1830</v>
      </c>
      <c r="D57" t="s">
        <v>1760</v>
      </c>
      <c r="E57" t="s">
        <v>1831</v>
      </c>
      <c r="F57" t="s">
        <v>1832</v>
      </c>
      <c r="G57" t="s">
        <v>1833</v>
      </c>
      <c r="H57">
        <v>4</v>
      </c>
      <c r="I57" t="str">
        <f t="shared" si="1"/>
        <v>Hawaii (HI OSHA)|03</v>
      </c>
    </row>
    <row r="58" spans="1:9" ht="15" customHeight="1" x14ac:dyDescent="0.45">
      <c r="A58" t="s">
        <v>1834</v>
      </c>
      <c r="B58">
        <v>1</v>
      </c>
      <c r="C58" t="s">
        <v>1835</v>
      </c>
      <c r="D58" t="s">
        <v>1611</v>
      </c>
      <c r="E58" t="s">
        <v>1836</v>
      </c>
      <c r="F58" t="s">
        <v>1837</v>
      </c>
      <c r="G58" t="s">
        <v>1838</v>
      </c>
      <c r="H58">
        <v>4</v>
      </c>
      <c r="I58" t="str">
        <f t="shared" si="1"/>
        <v>Iowa (Iowa OSHA)|01</v>
      </c>
    </row>
    <row r="59" spans="1:9" ht="15" customHeight="1" x14ac:dyDescent="0.45">
      <c r="A59" t="s">
        <v>1834</v>
      </c>
      <c r="B59">
        <v>2</v>
      </c>
      <c r="C59" t="s">
        <v>1839</v>
      </c>
      <c r="D59" t="s">
        <v>1755</v>
      </c>
      <c r="E59" t="s">
        <v>1840</v>
      </c>
      <c r="F59" t="s">
        <v>1841</v>
      </c>
      <c r="G59" t="s">
        <v>1842</v>
      </c>
      <c r="H59">
        <v>4</v>
      </c>
      <c r="I59" t="str">
        <f t="shared" si="1"/>
        <v>Iowa (Iowa OSHA)|02</v>
      </c>
    </row>
    <row r="60" spans="1:9" ht="15" customHeight="1" x14ac:dyDescent="0.45">
      <c r="A60" t="s">
        <v>1834</v>
      </c>
      <c r="B60">
        <v>3</v>
      </c>
      <c r="C60" t="s">
        <v>1843</v>
      </c>
      <c r="D60" t="s">
        <v>1760</v>
      </c>
      <c r="E60" t="s">
        <v>1844</v>
      </c>
      <c r="F60" t="s">
        <v>1845</v>
      </c>
      <c r="G60" t="s">
        <v>1846</v>
      </c>
      <c r="H60">
        <v>4</v>
      </c>
      <c r="I60" t="str">
        <f t="shared" si="1"/>
        <v>Iowa (Iowa OSHA)|03</v>
      </c>
    </row>
    <row r="61" spans="1:9" ht="15" customHeight="1" x14ac:dyDescent="0.45">
      <c r="A61" t="s">
        <v>1847</v>
      </c>
      <c r="B61">
        <v>1</v>
      </c>
      <c r="C61" t="s">
        <v>1848</v>
      </c>
      <c r="D61" t="s">
        <v>1611</v>
      </c>
      <c r="E61" t="s">
        <v>1849</v>
      </c>
      <c r="F61" t="s">
        <v>1850</v>
      </c>
      <c r="G61" t="s">
        <v>1851</v>
      </c>
      <c r="H61">
        <v>4</v>
      </c>
      <c r="I61" t="str">
        <f t="shared" si="1"/>
        <v>Kentucky (KY OSH)|01</v>
      </c>
    </row>
    <row r="62" spans="1:9" ht="15" customHeight="1" x14ac:dyDescent="0.45">
      <c r="A62" t="s">
        <v>1847</v>
      </c>
      <c r="B62">
        <v>2</v>
      </c>
      <c r="C62" t="s">
        <v>1852</v>
      </c>
      <c r="D62" t="s">
        <v>1755</v>
      </c>
      <c r="E62" t="s">
        <v>1853</v>
      </c>
      <c r="F62" t="s">
        <v>1854</v>
      </c>
      <c r="G62" t="s">
        <v>1855</v>
      </c>
      <c r="H62">
        <v>4</v>
      </c>
      <c r="I62" t="str">
        <f t="shared" si="1"/>
        <v>Kentucky (KY OSH)|02</v>
      </c>
    </row>
    <row r="63" spans="1:9" ht="15" customHeight="1" x14ac:dyDescent="0.45">
      <c r="A63" t="s">
        <v>1847</v>
      </c>
      <c r="B63">
        <v>3</v>
      </c>
      <c r="C63" t="s">
        <v>1856</v>
      </c>
      <c r="D63" t="s">
        <v>1760</v>
      </c>
      <c r="E63" t="s">
        <v>1857</v>
      </c>
      <c r="F63" t="s">
        <v>1858</v>
      </c>
      <c r="G63" t="s">
        <v>1859</v>
      </c>
      <c r="H63">
        <v>4</v>
      </c>
      <c r="I63" t="str">
        <f t="shared" si="1"/>
        <v>Kentucky (KY OSH)|03</v>
      </c>
    </row>
    <row r="64" spans="1:9" ht="15" customHeight="1" x14ac:dyDescent="0.45">
      <c r="A64" t="s">
        <v>1860</v>
      </c>
      <c r="B64">
        <v>1</v>
      </c>
      <c r="C64" t="s">
        <v>1861</v>
      </c>
      <c r="D64" t="s">
        <v>1611</v>
      </c>
      <c r="E64" t="s">
        <v>1862</v>
      </c>
      <c r="F64" t="s">
        <v>1863</v>
      </c>
      <c r="G64" t="s">
        <v>1864</v>
      </c>
      <c r="H64">
        <v>4</v>
      </c>
      <c r="I64" t="str">
        <f t="shared" si="1"/>
        <v>Maryland (MOSH)|01</v>
      </c>
    </row>
    <row r="65" spans="1:9" ht="15" customHeight="1" x14ac:dyDescent="0.45">
      <c r="A65" t="s">
        <v>1860</v>
      </c>
      <c r="B65">
        <v>2</v>
      </c>
      <c r="C65" t="s">
        <v>1865</v>
      </c>
      <c r="D65" t="s">
        <v>1755</v>
      </c>
      <c r="E65" t="s">
        <v>1866</v>
      </c>
      <c r="F65" t="s">
        <v>1867</v>
      </c>
      <c r="G65" t="s">
        <v>1868</v>
      </c>
      <c r="H65">
        <v>4</v>
      </c>
      <c r="I65" t="str">
        <f t="shared" si="1"/>
        <v>Maryland (MOSH)|02</v>
      </c>
    </row>
    <row r="66" spans="1:9" ht="15" customHeight="1" x14ac:dyDescent="0.45">
      <c r="A66" t="s">
        <v>1860</v>
      </c>
      <c r="B66">
        <v>3</v>
      </c>
      <c r="C66" t="s">
        <v>1869</v>
      </c>
      <c r="D66" t="s">
        <v>1870</v>
      </c>
      <c r="E66" t="s">
        <v>1871</v>
      </c>
      <c r="F66" t="s">
        <v>1872</v>
      </c>
      <c r="G66" t="s">
        <v>1873</v>
      </c>
      <c r="H66">
        <v>6</v>
      </c>
      <c r="I66" t="str">
        <f t="shared" ref="I66:I89" si="2">A66&amp;"|"&amp;TEXT(B66,"00")</f>
        <v>Maryland (MOSH)|03</v>
      </c>
    </row>
    <row r="67" spans="1:9" ht="15" customHeight="1" x14ac:dyDescent="0.45">
      <c r="A67" t="s">
        <v>1860</v>
      </c>
      <c r="B67">
        <v>4</v>
      </c>
      <c r="C67" t="s">
        <v>1874</v>
      </c>
      <c r="D67" t="s">
        <v>1760</v>
      </c>
      <c r="E67" t="s">
        <v>1875</v>
      </c>
      <c r="F67" t="s">
        <v>1876</v>
      </c>
      <c r="G67" t="s">
        <v>1877</v>
      </c>
      <c r="H67">
        <v>4</v>
      </c>
      <c r="I67" t="str">
        <f t="shared" si="2"/>
        <v>Maryland (MOSH)|04</v>
      </c>
    </row>
    <row r="68" spans="1:9" ht="15" customHeight="1" x14ac:dyDescent="0.45">
      <c r="A68" t="s">
        <v>1878</v>
      </c>
      <c r="B68">
        <v>1</v>
      </c>
      <c r="C68" t="s">
        <v>1879</v>
      </c>
      <c r="D68" t="s">
        <v>1611</v>
      </c>
      <c r="E68" t="s">
        <v>1880</v>
      </c>
      <c r="F68" t="s">
        <v>1881</v>
      </c>
      <c r="G68" t="s">
        <v>1882</v>
      </c>
      <c r="H68">
        <v>4</v>
      </c>
      <c r="I68" t="str">
        <f t="shared" si="2"/>
        <v>Nevada (NV OSHA)|01</v>
      </c>
    </row>
    <row r="69" spans="1:9" ht="15" customHeight="1" x14ac:dyDescent="0.45">
      <c r="A69" t="s">
        <v>1878</v>
      </c>
      <c r="B69">
        <v>2</v>
      </c>
      <c r="C69" t="s">
        <v>1883</v>
      </c>
      <c r="D69" t="s">
        <v>1755</v>
      </c>
      <c r="E69" t="s">
        <v>1884</v>
      </c>
      <c r="F69" t="s">
        <v>1885</v>
      </c>
      <c r="G69" t="s">
        <v>1886</v>
      </c>
      <c r="H69">
        <v>4</v>
      </c>
      <c r="I69" t="str">
        <f t="shared" si="2"/>
        <v>Nevada (NV OSHA)|02</v>
      </c>
    </row>
    <row r="70" spans="1:9" ht="15" customHeight="1" x14ac:dyDescent="0.45">
      <c r="A70" t="s">
        <v>1878</v>
      </c>
      <c r="B70">
        <v>3</v>
      </c>
      <c r="C70" t="s">
        <v>1887</v>
      </c>
      <c r="D70" t="s">
        <v>1760</v>
      </c>
      <c r="E70" t="s">
        <v>1888</v>
      </c>
      <c r="F70" t="s">
        <v>1889</v>
      </c>
      <c r="G70" t="s">
        <v>1890</v>
      </c>
      <c r="H70">
        <v>4</v>
      </c>
      <c r="I70" t="str">
        <f t="shared" si="2"/>
        <v>Nevada (NV OSHA)|03</v>
      </c>
    </row>
    <row r="71" spans="1:9" ht="15" customHeight="1" x14ac:dyDescent="0.45">
      <c r="A71" t="s">
        <v>1891</v>
      </c>
      <c r="B71">
        <v>1</v>
      </c>
      <c r="C71" t="s">
        <v>1892</v>
      </c>
      <c r="D71" t="s">
        <v>1611</v>
      </c>
      <c r="E71" t="s">
        <v>1893</v>
      </c>
      <c r="F71" t="s">
        <v>1894</v>
      </c>
      <c r="G71" t="s">
        <v>1895</v>
      </c>
      <c r="H71">
        <v>4</v>
      </c>
      <c r="I71" t="str">
        <f t="shared" si="2"/>
        <v>New Mexico (NM OSHA)|01</v>
      </c>
    </row>
    <row r="72" spans="1:9" ht="15" customHeight="1" x14ac:dyDescent="0.45">
      <c r="A72" t="s">
        <v>1891</v>
      </c>
      <c r="B72">
        <v>2</v>
      </c>
      <c r="C72" t="s">
        <v>1896</v>
      </c>
      <c r="D72" t="s">
        <v>1755</v>
      </c>
      <c r="E72" t="s">
        <v>1897</v>
      </c>
      <c r="F72" t="s">
        <v>1898</v>
      </c>
      <c r="G72" t="s">
        <v>1899</v>
      </c>
      <c r="H72">
        <v>4</v>
      </c>
      <c r="I72" t="str">
        <f t="shared" si="2"/>
        <v>New Mexico (NM OSHA)|02</v>
      </c>
    </row>
    <row r="73" spans="1:9" ht="15" customHeight="1" x14ac:dyDescent="0.45">
      <c r="A73" t="s">
        <v>1891</v>
      </c>
      <c r="B73">
        <v>3</v>
      </c>
      <c r="C73" t="s">
        <v>1900</v>
      </c>
      <c r="D73" t="s">
        <v>1760</v>
      </c>
      <c r="E73" t="s">
        <v>1901</v>
      </c>
      <c r="F73" t="s">
        <v>1902</v>
      </c>
      <c r="G73" t="s">
        <v>1903</v>
      </c>
      <c r="H73">
        <v>4</v>
      </c>
      <c r="I73" t="str">
        <f t="shared" si="2"/>
        <v>New Mexico (NM OSHA)|03</v>
      </c>
    </row>
    <row r="74" spans="1:9" ht="15" customHeight="1" x14ac:dyDescent="0.45">
      <c r="A74" t="s">
        <v>1904</v>
      </c>
      <c r="B74">
        <v>1</v>
      </c>
      <c r="C74" t="s">
        <v>1905</v>
      </c>
      <c r="D74" t="s">
        <v>1611</v>
      </c>
      <c r="E74" t="s">
        <v>1906</v>
      </c>
      <c r="F74" t="s">
        <v>1907</v>
      </c>
      <c r="G74" t="s">
        <v>1908</v>
      </c>
      <c r="H74">
        <v>4</v>
      </c>
      <c r="I74" t="str">
        <f t="shared" si="2"/>
        <v>Tennessee (TOSHA)|01</v>
      </c>
    </row>
    <row r="75" spans="1:9" ht="15" customHeight="1" x14ac:dyDescent="0.45">
      <c r="A75" t="s">
        <v>1904</v>
      </c>
      <c r="B75">
        <v>2</v>
      </c>
      <c r="C75" t="s">
        <v>1909</v>
      </c>
      <c r="D75" t="s">
        <v>1755</v>
      </c>
      <c r="E75" t="s">
        <v>1910</v>
      </c>
      <c r="F75" t="s">
        <v>1911</v>
      </c>
      <c r="G75" t="s">
        <v>1912</v>
      </c>
      <c r="H75">
        <v>4</v>
      </c>
      <c r="I75" t="str">
        <f t="shared" si="2"/>
        <v>Tennessee (TOSHA)|02</v>
      </c>
    </row>
    <row r="76" spans="1:9" ht="15" customHeight="1" x14ac:dyDescent="0.45">
      <c r="A76" t="s">
        <v>1904</v>
      </c>
      <c r="B76">
        <v>3</v>
      </c>
      <c r="C76" t="s">
        <v>1913</v>
      </c>
      <c r="D76" t="s">
        <v>1760</v>
      </c>
      <c r="E76" t="s">
        <v>1914</v>
      </c>
      <c r="F76" t="s">
        <v>1915</v>
      </c>
      <c r="G76" t="s">
        <v>1916</v>
      </c>
      <c r="H76">
        <v>4</v>
      </c>
      <c r="I76" t="str">
        <f t="shared" si="2"/>
        <v>Tennessee (TOSHA)|03</v>
      </c>
    </row>
    <row r="77" spans="1:9" ht="15" customHeight="1" x14ac:dyDescent="0.45">
      <c r="A77" t="s">
        <v>1917</v>
      </c>
      <c r="B77">
        <v>1</v>
      </c>
      <c r="C77" t="s">
        <v>1918</v>
      </c>
      <c r="D77" t="s">
        <v>1611</v>
      </c>
      <c r="E77" t="s">
        <v>1919</v>
      </c>
      <c r="F77" t="s">
        <v>1920</v>
      </c>
      <c r="G77" t="s">
        <v>1921</v>
      </c>
      <c r="H77">
        <v>4</v>
      </c>
      <c r="I77" t="str">
        <f t="shared" si="2"/>
        <v>Utah (Utah OSHA)|01</v>
      </c>
    </row>
    <row r="78" spans="1:9" ht="15" customHeight="1" x14ac:dyDescent="0.45">
      <c r="A78" t="s">
        <v>1917</v>
      </c>
      <c r="B78">
        <v>2</v>
      </c>
      <c r="C78" t="s">
        <v>1922</v>
      </c>
      <c r="D78" t="s">
        <v>1755</v>
      </c>
      <c r="E78" t="s">
        <v>1923</v>
      </c>
      <c r="F78" t="s">
        <v>1924</v>
      </c>
      <c r="G78" t="s">
        <v>1925</v>
      </c>
      <c r="H78">
        <v>4</v>
      </c>
      <c r="I78" t="str">
        <f t="shared" si="2"/>
        <v>Utah (Utah OSHA)|02</v>
      </c>
    </row>
    <row r="79" spans="1:9" ht="15" customHeight="1" x14ac:dyDescent="0.45">
      <c r="A79" t="s">
        <v>1917</v>
      </c>
      <c r="B79">
        <v>3</v>
      </c>
      <c r="C79" t="s">
        <v>1926</v>
      </c>
      <c r="D79" t="s">
        <v>1760</v>
      </c>
      <c r="E79" t="s">
        <v>1927</v>
      </c>
      <c r="F79" t="s">
        <v>1928</v>
      </c>
      <c r="G79" t="s">
        <v>1929</v>
      </c>
      <c r="H79">
        <v>4</v>
      </c>
      <c r="I79" t="str">
        <f t="shared" si="2"/>
        <v>Utah (Utah OSHA)|03</v>
      </c>
    </row>
    <row r="80" spans="1:9" ht="15" customHeight="1" x14ac:dyDescent="0.45">
      <c r="A80" t="s">
        <v>1930</v>
      </c>
      <c r="B80">
        <v>1</v>
      </c>
      <c r="C80" t="s">
        <v>1931</v>
      </c>
      <c r="D80" t="s">
        <v>1611</v>
      </c>
      <c r="E80" t="s">
        <v>1932</v>
      </c>
      <c r="F80" t="s">
        <v>1933</v>
      </c>
      <c r="G80" t="s">
        <v>1934</v>
      </c>
      <c r="H80">
        <v>4</v>
      </c>
      <c r="I80" t="str">
        <f t="shared" si="2"/>
        <v>Vermont (VT OSHA)|01</v>
      </c>
    </row>
    <row r="81" spans="1:9" ht="15" customHeight="1" x14ac:dyDescent="0.45">
      <c r="A81" t="s">
        <v>1930</v>
      </c>
      <c r="B81">
        <v>2</v>
      </c>
      <c r="C81" t="s">
        <v>1935</v>
      </c>
      <c r="D81" t="s">
        <v>1755</v>
      </c>
      <c r="E81" t="s">
        <v>1936</v>
      </c>
      <c r="F81" t="s">
        <v>1937</v>
      </c>
      <c r="G81" t="s">
        <v>1938</v>
      </c>
      <c r="H81">
        <v>4</v>
      </c>
      <c r="I81" t="str">
        <f t="shared" si="2"/>
        <v>Vermont (VT OSHA)|02</v>
      </c>
    </row>
    <row r="82" spans="1:9" ht="15" customHeight="1" x14ac:dyDescent="0.45">
      <c r="A82" t="s">
        <v>1930</v>
      </c>
      <c r="B82">
        <v>3</v>
      </c>
      <c r="C82" t="s">
        <v>1939</v>
      </c>
      <c r="D82" t="s">
        <v>1760</v>
      </c>
      <c r="E82" t="s">
        <v>1940</v>
      </c>
      <c r="F82" t="s">
        <v>1941</v>
      </c>
      <c r="G82" t="s">
        <v>1942</v>
      </c>
      <c r="H82">
        <v>4</v>
      </c>
      <c r="I82" t="str">
        <f t="shared" si="2"/>
        <v>Vermont (VT OSHA)|03</v>
      </c>
    </row>
    <row r="83" spans="1:9" ht="15" customHeight="1" x14ac:dyDescent="0.45">
      <c r="A83" t="s">
        <v>1943</v>
      </c>
      <c r="B83">
        <v>1</v>
      </c>
      <c r="C83" t="s">
        <v>1944</v>
      </c>
      <c r="D83" t="s">
        <v>1611</v>
      </c>
      <c r="E83" t="s">
        <v>1945</v>
      </c>
      <c r="F83" t="s">
        <v>1946</v>
      </c>
      <c r="G83" t="s">
        <v>1947</v>
      </c>
      <c r="H83">
        <v>4</v>
      </c>
      <c r="I83" t="str">
        <f t="shared" si="2"/>
        <v>Wyoming (WY OSHA)|01</v>
      </c>
    </row>
    <row r="84" spans="1:9" ht="15" customHeight="1" x14ac:dyDescent="0.45">
      <c r="A84" t="s">
        <v>1943</v>
      </c>
      <c r="B84">
        <v>2</v>
      </c>
      <c r="C84" t="s">
        <v>1948</v>
      </c>
      <c r="D84" t="s">
        <v>1755</v>
      </c>
      <c r="E84" t="s">
        <v>1949</v>
      </c>
      <c r="F84" t="s">
        <v>1950</v>
      </c>
      <c r="G84" t="s">
        <v>1951</v>
      </c>
      <c r="H84">
        <v>4</v>
      </c>
      <c r="I84" t="str">
        <f t="shared" si="2"/>
        <v>Wyoming (WY OSHA)|02</v>
      </c>
    </row>
    <row r="85" spans="1:9" ht="15" customHeight="1" x14ac:dyDescent="0.45">
      <c r="A85" t="s">
        <v>1943</v>
      </c>
      <c r="B85">
        <v>3</v>
      </c>
      <c r="C85" t="s">
        <v>1952</v>
      </c>
      <c r="D85" t="s">
        <v>1760</v>
      </c>
      <c r="E85" t="s">
        <v>1953</v>
      </c>
      <c r="F85" t="s">
        <v>1954</v>
      </c>
      <c r="G85" t="s">
        <v>1955</v>
      </c>
      <c r="H85">
        <v>4</v>
      </c>
      <c r="I85" t="str">
        <f t="shared" si="2"/>
        <v>Wyoming (WY OSHA)|03</v>
      </c>
    </row>
    <row r="86" spans="1:9" ht="15" customHeight="1" x14ac:dyDescent="0.45">
      <c r="A86" t="s">
        <v>1956</v>
      </c>
      <c r="B86">
        <v>1</v>
      </c>
      <c r="C86" t="s">
        <v>1957</v>
      </c>
      <c r="D86" t="s">
        <v>1611</v>
      </c>
      <c r="E86" t="s">
        <v>1958</v>
      </c>
      <c r="F86" t="s">
        <v>1959</v>
      </c>
      <c r="G86" t="s">
        <v>1960</v>
      </c>
      <c r="H86">
        <v>4</v>
      </c>
      <c r="I86" t="str">
        <f t="shared" si="2"/>
        <v>Puerto Rico (PR OSHA)|01</v>
      </c>
    </row>
    <row r="87" spans="1:9" ht="15" customHeight="1" x14ac:dyDescent="0.45">
      <c r="A87" t="s">
        <v>1956</v>
      </c>
      <c r="B87">
        <v>2</v>
      </c>
      <c r="C87" t="s">
        <v>1961</v>
      </c>
      <c r="D87" t="s">
        <v>1962</v>
      </c>
      <c r="E87" t="s">
        <v>1963</v>
      </c>
      <c r="F87" t="s">
        <v>1964</v>
      </c>
      <c r="G87" t="s">
        <v>1965</v>
      </c>
      <c r="H87">
        <v>8</v>
      </c>
      <c r="I87" t="str">
        <f t="shared" si="2"/>
        <v>Puerto Rico (PR OSHA)|02</v>
      </c>
    </row>
    <row r="88" spans="1:9" ht="15" customHeight="1" x14ac:dyDescent="0.45">
      <c r="A88" t="s">
        <v>1956</v>
      </c>
      <c r="B88">
        <v>3</v>
      </c>
      <c r="C88" t="s">
        <v>1966</v>
      </c>
      <c r="D88" t="s">
        <v>1755</v>
      </c>
      <c r="E88" t="s">
        <v>1967</v>
      </c>
      <c r="F88" t="s">
        <v>1968</v>
      </c>
      <c r="G88" t="s">
        <v>1969</v>
      </c>
      <c r="H88">
        <v>4</v>
      </c>
      <c r="I88" t="str">
        <f t="shared" si="2"/>
        <v>Puerto Rico (PR OSHA)|03</v>
      </c>
    </row>
    <row r="89" spans="1:9" ht="15" customHeight="1" x14ac:dyDescent="0.45">
      <c r="A89" t="s">
        <v>1956</v>
      </c>
      <c r="B89">
        <v>4</v>
      </c>
      <c r="C89" t="s">
        <v>1970</v>
      </c>
      <c r="D89" t="s">
        <v>1760</v>
      </c>
      <c r="E89" t="s">
        <v>1971</v>
      </c>
      <c r="F89" t="s">
        <v>1972</v>
      </c>
      <c r="G89" t="s">
        <v>1973</v>
      </c>
      <c r="H89">
        <v>4</v>
      </c>
      <c r="I89" t="str">
        <f t="shared" si="2"/>
        <v>Puerto Rico (PR OSHA)|04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Pre-Audit Scoping</vt:lpstr>
      <vt:lpstr>HSE Dashboard</vt:lpstr>
      <vt:lpstr>Audit Report</vt:lpstr>
      <vt:lpstr>CA Tracker</vt:lpstr>
      <vt:lpstr>Confined Space</vt:lpstr>
      <vt:lpstr>PPE</vt:lpstr>
      <vt:lpstr>Walking &amp; Working Surfaces</vt:lpstr>
      <vt:lpstr>Recordkeeping</vt:lpstr>
      <vt:lpstr>LOTO</vt:lpstr>
      <vt:lpstr>Egress &amp; Emergency Action</vt:lpstr>
      <vt:lpstr>Fire Protection &amp; Alarms</vt:lpstr>
      <vt:lpstr>Machine Guarding</vt:lpstr>
      <vt:lpstr>Electrical Safety</vt:lpstr>
      <vt:lpstr>Hand &amp; Power Tools</vt:lpstr>
      <vt:lpstr>Hazard Communication</vt:lpstr>
      <vt:lpstr>Forklifts &amp; Materials</vt:lpstr>
      <vt:lpstr>Cranes, Hoists &amp; Rigging</vt:lpstr>
      <vt:lpstr>Hazardous Materials</vt:lpstr>
      <vt:lpstr>Occ. Health &amp; Noise</vt:lpstr>
      <vt:lpstr>Medical &amp; First Aid</vt:lpstr>
      <vt:lpstr>Welding &amp; Hot Work</vt:lpstr>
      <vt:lpstr>BBP &amp; Sanitation</vt:lpstr>
      <vt:lpstr>State Requirements</vt:lpstr>
      <vt:lpstr>DataPool</vt:lpstr>
      <vt:lpstr>State_Data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Wallon</cp:lastModifiedBy>
  <cp:revision>0</cp:revision>
  <dcterms:created xsi:type="dcterms:W3CDTF">2026-06-30T20:38:37Z</dcterms:created>
  <dcterms:modified xsi:type="dcterms:W3CDTF">2026-07-10T19:04:16Z</dcterms:modified>
  <dc:language>en-US</dc:language>
</cp:coreProperties>
</file>